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8308e1c0f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c861dcbe2a4251"/>
    <x:sheet xmlns:r="http://schemas.openxmlformats.org/officeDocument/2006/relationships" name="Key Findings" sheetId="2" r:id="Rb1935d533de14687"/>
    <x:sheet xmlns:r="http://schemas.openxmlformats.org/officeDocument/2006/relationships" name="Benefit-Harm" sheetId="3" r:id="Ra2aeb3dcf57a4180"/>
    <x:sheet xmlns:r="http://schemas.openxmlformats.org/officeDocument/2006/relationships" name="Agent Results" sheetId="4" r:id="R279fe22f76544d49"/>
    <x:sheet xmlns:r="http://schemas.openxmlformats.org/officeDocument/2006/relationships" name="Raw Agent MD" sheetId="5" r:id="R215b79b32b094e0e"/>
    <x:sheet xmlns:r="http://schemas.openxmlformats.org/officeDocument/2006/relationships" name="Absolute Safety" sheetId="6" r:id="R19d64916fdd34ca3"/>
    <x:sheet xmlns:r="http://schemas.openxmlformats.org/officeDocument/2006/relationships" name="Termination Sensitivity" sheetId="7" r:id="Rf84bf61dc9e241a2"/>
    <x:sheet xmlns:r="http://schemas.openxmlformats.org/officeDocument/2006/relationships" name="MID Compatibility" sheetId="8" r:id="Rdaea8a9169da4e24"/>
    <x:sheet xmlns:r="http://schemas.openxmlformats.org/officeDocument/2006/relationships" name="Target Classes" sheetId="9" r:id="R2a5970b744024fba"/>
    <x:sheet xmlns:r="http://schemas.openxmlformats.org/officeDocument/2006/relationships" name="Interaction Tests" sheetId="10" r:id="Rbaea5ece55a74980"/>
    <x:sheet xmlns:r="http://schemas.openxmlformats.org/officeDocument/2006/relationships" name="Moderator Models" sheetId="11" r:id="Rf46ea4b50b2145e5"/>
    <x:sheet xmlns:r="http://schemas.openxmlformats.org/officeDocument/2006/relationships" name="Leave-One-Out" sheetId="12" r:id="R1cb6f2a6d40b4a21"/>
    <x:sheet xmlns:r="http://schemas.openxmlformats.org/officeDocument/2006/relationships" name="Trial Annotations" sheetId="13" r:id="R14d868d59afc4321"/>
    <x:sheet xmlns:r="http://schemas.openxmlformats.org/officeDocument/2006/relationships" name="Quality Control" sheetId="14" r:id="R5d0a9397896d4678"/>
    <x:sheet xmlns:r="http://schemas.openxmlformats.org/officeDocument/2006/relationships" name="Sources" sheetId="15" r:id="R172f4f998e64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General"/>
    <x:numFmt numFmtId="202" formatCode="0.00"/>
    <x:numFmt numFmtId="203" formatCode="0.0"/>
    <x:numFmt numFmtId="204" formatCode="0"/>
    <x:numFmt numFmtId="205" formatCode="0.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5"/>
      <x:name val="Carlito"/>
    </x:font>
    <x:font>
      <x:b/>
      <x:sz val="11"/>
      <x:color rgb="FF17324D"/>
      <x:name val="Carlito"/>
    </x:font>
    <x:font>
      <x:sz val="11"/>
      <x:color rgb="FF1D2733"/>
      <x:name val="Carlito"/>
    </x:font>
    <x:font>
      <x:b/>
      <x:sz val="11"/>
      <x:color rgb="FFFFFFFF"/>
      <x:name val="Carlito"/>
    </x:font>
    <x:font>
      <x:b/>
      <x:sz val="11"/>
      <x:color rgb="FF1D2733"/>
      <x:name val="Carlito"/>
    </x:font>
    <x:font>
      <x:sz val="9"/>
      <x:color rgb="FF1D27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5F2"/>
      </x:patternFill>
    </x:fill>
    <x:fill>
      <x:patternFill patternType="solid">
        <x:fgColor rgb="FF2E5D8A"/>
      </x:patternFill>
    </x:fill>
    <x:fill>
      <x:patternFill patternType="solid">
        <x:fgColor rgb="FFFFF5D9"/>
      </x:patternFill>
    </x:fill>
    <x:fill>
      <x:patternFill patternType="solid">
        <x:fgColor rgb="FF16837A"/>
      </x:patternFill>
    </x:fill>
  </x:fills>
  <x:borders count="7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1" fontId="7" fillId="0" borderId="2" xfId="0" applyNumberFormat="1" applyFont="1" applyFill="1" applyBorder="1" applyAlignment="1">
      <x:alignment vertical="top"/>
    </x:xf>
    <x:xf numFmtId="201" fontId="7" fillId="0" borderId="3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202" fontId="7" fillId="0" borderId="2" xfId="0" applyNumberFormat="1" applyFont="1" applyFill="1" applyBorder="1" applyAlignment="1">
      <x:alignment vertical="top"/>
    </x:xf>
    <x:xf numFmtId="202" fontId="7" fillId="0" borderId="3" xfId="0" applyNumberFormat="1" applyFont="1" applyFill="1" applyBorder="1" applyAlignment="1">
      <x:alignment vertical="top"/>
    </x:xf>
    <x:xf numFmtId="203" fontId="7" fillId="0" borderId="1" xfId="0" applyNumberFormat="1" applyFont="1" applyFill="1" applyBorder="1" applyAlignment="1">
      <x:alignment vertical="top"/>
    </x:xf>
    <x:xf numFmtId="203" fontId="7" fillId="0" borderId="2" xfId="0" applyNumberFormat="1" applyFont="1" applyFill="1" applyBorder="1" applyAlignment="1">
      <x:alignment vertical="top"/>
    </x:xf>
    <x:xf numFmtId="203" fontId="7" fillId="0" borderId="3" xfId="0" applyNumberFormat="1" applyFont="1" applyFill="1" applyBorder="1" applyAlignment="1">
      <x:alignment vertical="top"/>
    </x:xf>
    <x:xf numFmtId="204" fontId="7" fillId="0" borderId="1" xfId="0" applyNumberFormat="1" applyFont="1" applyFill="1" applyBorder="1" applyAlignment="1">
      <x:alignment vertical="top"/>
    </x:xf>
    <x:xf numFmtId="204" fontId="7" fillId="0" borderId="2" xfId="0" applyNumberFormat="1" applyFont="1" applyFill="1" applyBorder="1" applyAlignment="1">
      <x:alignment vertical="top"/>
    </x:xf>
    <x:xf numFmtId="204" fontId="7" fillId="0" borderId="3" xfId="0" applyNumberFormat="1" applyFont="1" applyFill="1" applyBorder="1" applyAlignment="1">
      <x:alignment vertical="top"/>
    </x:xf>
    <x:xf numFmtId="205" fontId="7" fillId="0" borderId="1" xfId="0" applyNumberFormat="1" applyFont="1" applyFill="1" applyBorder="1" applyAlignment="1">
      <x:alignment vertical="top"/>
    </x:xf>
    <x:xf numFmtId="205" fontId="7" fillId="0" borderId="2" xfId="0" applyNumberFormat="1" applyFont="1" applyFill="1" applyBorder="1" applyAlignment="1">
      <x:alignment vertical="top"/>
    </x:xf>
    <x:xf numFmtId="205" fontId="7" fillId="0" borderId="3" xfId="0" applyNumberFormat="1" applyFont="1" applyFill="1" applyBorder="1" applyAlignment="1">
      <x:alignment vertical="top"/>
    </x:xf>
    <x:xf numFmtId="200" fontId="7" fillId="0" borderId="1" xfId="0" applyNumberFormat="1" applyFont="1" applyFill="1" applyBorder="1" applyAlignment="1">
      <x:alignment vertical="top"/>
    </x:xf>
    <x:xf numFmtId="200" fontId="7" fillId="0" borderId="2" xfId="0" applyNumberFormat="1" applyFont="1" applyFill="1" applyBorder="1" applyAlignment="1">
      <x:alignment vertical="top"/>
    </x:xf>
    <x:xf numFmtId="200" fontId="7" fillId="0" borderId="3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3" fontId="0" fillId="0" borderId="1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4" fontId="0" fillId="0" borderId="1" xfId="0" applyNumberFormat="1" applyFont="1" applyFill="1" applyBorder="1"/>
    <x:xf numFmtId="204" fontId="0" fillId="0" borderId="2" xfId="0" applyNumberFormat="1" applyFont="1" applyFill="1" applyBorder="1"/>
    <x:xf numFmtId="204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8e6a302db4143" /><Relationship Type="http://schemas.openxmlformats.org/officeDocument/2006/relationships/theme" Target="/xl/theme/theme1.xml" Id="R17ae22add7fa49e2" /><Relationship Type="http://schemas.openxmlformats.org/officeDocument/2006/relationships/sharedStrings" Target="/xl/sharedStrings.xml" Id="R82e56a4238c64632" /><Relationship Type="http://schemas.openxmlformats.org/officeDocument/2006/relationships/worksheet" Target="/xl/worksheets/sheet1.xml" Id="R08c861dcbe2a4251" /><Relationship Type="http://schemas.openxmlformats.org/officeDocument/2006/relationships/worksheet" Target="/xl/worksheets/sheet2.xml" Id="Rb1935d533de14687" /><Relationship Type="http://schemas.openxmlformats.org/officeDocument/2006/relationships/worksheet" Target="/xl/worksheets/sheet3.xml" Id="Ra2aeb3dcf57a4180" /><Relationship Type="http://schemas.openxmlformats.org/officeDocument/2006/relationships/worksheet" Target="/xl/worksheets/sheet4.xml" Id="R279fe22f76544d49" /><Relationship Type="http://schemas.openxmlformats.org/officeDocument/2006/relationships/worksheet" Target="/xl/worksheets/sheet5.xml" Id="R215b79b32b094e0e" /><Relationship Type="http://schemas.openxmlformats.org/officeDocument/2006/relationships/worksheet" Target="/xl/worksheets/sheet6.xml" Id="R19d64916fdd34ca3" /><Relationship Type="http://schemas.openxmlformats.org/officeDocument/2006/relationships/worksheet" Target="/xl/worksheets/sheet7.xml" Id="Rf84bf61dc9e241a2" /><Relationship Type="http://schemas.openxmlformats.org/officeDocument/2006/relationships/worksheet" Target="/xl/worksheets/sheet8.xml" Id="Rdaea8a9169da4e24" /><Relationship Type="http://schemas.openxmlformats.org/officeDocument/2006/relationships/worksheet" Target="/xl/worksheets/sheet9.xml" Id="R2a5970b744024fba" /><Relationship Type="http://schemas.openxmlformats.org/officeDocument/2006/relationships/worksheet" Target="/xl/worksheets/sheet10.xml" Id="Rbaea5ece55a74980" /><Relationship Type="http://schemas.openxmlformats.org/officeDocument/2006/relationships/worksheet" Target="/xl/worksheets/sheet11.xml" Id="Rf46ea4b50b2145e5" /><Relationship Type="http://schemas.openxmlformats.org/officeDocument/2006/relationships/worksheet" Target="/xl/worksheets/sheet12.xml" Id="R1cb6f2a6d40b4a21" /><Relationship Type="http://schemas.openxmlformats.org/officeDocument/2006/relationships/worksheet" Target="/xl/worksheets/sheet13.xml" Id="R14d868d59afc4321" /><Relationship Type="http://schemas.openxmlformats.org/officeDocument/2006/relationships/worksheet" Target="/xl/worksheets/sheet14.xml" Id="R5d0a9397896d4678" /><Relationship Type="http://schemas.openxmlformats.org/officeDocument/2006/relationships/worksheet" Target="/xl/worksheets/sheet15.xml" Id="R172f4f998e644c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ec3e68b04449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Absolute ARIA-E excess risk by antibody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ARIA-E excess / 1,000</c:v>
          </c:tx>
          <c:cat>
            <c:strRef>
              <c:f>'Key Findings'!$A$18:$A$20</c:f>
              <c:strCache>
                <c:ptCount val="0"/>
              </c:strCache>
            </c:strRef>
          </c:cat>
          <c:val>
            <c:numRef>
              <c:f>'Key Findings'!$B$18:$B$20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ec3e68b04449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efitHarmTable" displayName="BenefitHarmTable" ref="A5:I8" headerRowCount="1" totalsRowCount="0" totalsRowShown="0">
  <x:tableColumns count="9">
    <x:tableColumn id="1" name="Agent"/>
    <x:tableColumn id="2" name="ADAS-Cog MD"/>
    <x:tableColumn id="3" name="ADAS CI low"/>
    <x:tableColumn id="4" name="ADAS CI high"/>
    <x:tableColumn id="5" name="CDR-SB MD"/>
    <x:tableColumn id="6" name="CDR CI low"/>
    <x:tableColumn id="7" name="CDR CI high"/>
    <x:tableColumn id="8" name="ARIA-E excess / 1,000"/>
    <x:tableColumn id="9" name="Discontinuation excess / 1,00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ResultsTable" displayName="AgentResultsTable" ref="A4:L105" headerRowCount="1" totalsRowCount="0" totalsRowShown="0">
  <x:tableColumns count="12">
    <x:tableColumn id="1" name="ID"/>
    <x:tableColumn id="2" name="Outcome"/>
    <x:tableColumn id="3" name="Measure"/>
    <x:tableColumn id="4" name="Agent"/>
    <x:tableColumn id="5" name="k"/>
    <x:tableColumn id="6" name="Estimate"/>
    <x:tableColumn id="7" name="CI low"/>
    <x:tableColumn id="8" name="CI high"/>
    <x:tableColumn id="9" name="P"/>
    <x:tableColumn id="10" name="I² (%)"/>
    <x:tableColumn id="11" name="Prediction low"/>
    <x:tableColumn id="12" name="Prediction hig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AgentMDTable" displayName="RawAgentMDTable" ref="A4:I32" headerRowCount="1" totalsRowCount="0" totalsRowShown="0">
  <x:tableColumns count="9">
    <x:tableColumn id="1" name="ID"/>
    <x:tableColumn id="2" name="Outcome"/>
    <x:tableColumn id="3" name="Agent"/>
    <x:tableColumn id="4" name="k"/>
    <x:tableColumn id="5" name="MD"/>
    <x:tableColumn id="6" name="CI low"/>
    <x:tableColumn id="7" name="CI high"/>
    <x:tableColumn id="8" name="P"/>
    <x:tableColumn id="9" name="I²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bsoluteSafetyTable" displayName="AbsoluteSafetyTable" ref="A4:K59" headerRowCount="1" totalsRowCount="0" totalsRowShown="0">
  <x:tableColumns count="11">
    <x:tableColumn id="1" name="ID"/>
    <x:tableColumn id="2" name="Outcome"/>
    <x:tableColumn id="3" name="Agent"/>
    <x:tableColumn id="4" name="k"/>
    <x:tableColumn id="5" name="Risk difference"/>
    <x:tableColumn id="6" name="RD CI low"/>
    <x:tableColumn id="7" name="RD CI high"/>
    <x:tableColumn id="8" name="Active events"/>
    <x:tableColumn id="9" name="Active N"/>
    <x:tableColumn id="10" name="Control events"/>
    <x:tableColumn id="11" name="Control 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inationTable" displayName="TerminationTable" ref="A4:J99" headerRowCount="1" totalsRowCount="0" totalsRowShown="0">
  <x:tableColumns count="10">
    <x:tableColumn id="1" name="ID"/>
    <x:tableColumn id="2" name="Outcome"/>
    <x:tableColumn id="3" name="Measure"/>
    <x:tableColumn id="4" name="Scenario"/>
    <x:tableColumn id="5" name="k"/>
    <x:tableColumn id="6" name="Estimate"/>
    <x:tableColumn id="7" name="CI low"/>
    <x:tableColumn id="8" name="CI high"/>
    <x:tableColumn id="9" name="P"/>
    <x:tableColumn id="10" name="I² (%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DCompatibilityTable" displayName="MIDCompatibilityTable" ref="A4:J24" headerRowCount="1" totalsRowCount="0" totalsRowShown="0">
  <x:tableColumns count="10">
    <x:tableColumn id="1" name="ID"/>
    <x:tableColumn id="2" name="Outcome"/>
    <x:tableColumn id="3" name="Scenario"/>
    <x:tableColumn id="4" name="k"/>
    <x:tableColumn id="5" name="Benefit"/>
    <x:tableColumn id="6" name="Benefit CI low"/>
    <x:tableColumn id="7" name="Benefit CI high"/>
    <x:tableColumn id="8" name="Threshold"/>
    <x:tableColumn id="9" name="Compatibility"/>
    <x:tableColumn id="10" name="Horizon cau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rgetClassTable" displayName="TargetClassTable" ref="A4:J39" headerRowCount="1" totalsRowCount="0" totalsRowShown="0">
  <x:tableColumns count="10">
    <x:tableColumn id="1" name="ID"/>
    <x:tableColumn id="2" name="Outcome"/>
    <x:tableColumn id="3" name="Measure"/>
    <x:tableColumn id="4" name="Target class"/>
    <x:tableColumn id="5" name="k"/>
    <x:tableColumn id="6" name="Estimate"/>
    <x:tableColumn id="7" name="CI low"/>
    <x:tableColumn id="8" name="CI high"/>
    <x:tableColumn id="9" name="P"/>
    <x:tableColumn id="10" name="I² (%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teractionTestsTable" displayName="InteractionTestsTable" ref="A4:J18" headerRowCount="1" totalsRowCount="0" totalsRowShown="0">
  <x:tableColumns count="10">
    <x:tableColumn id="1" name="ID"/>
    <x:tableColumn id="2" name="Outcome"/>
    <x:tableColumn id="3" name="Measure"/>
    <x:tableColumn id="4" name="k"/>
    <x:tableColumn id="5" name="Agents"/>
    <x:tableColumn id="6" name="QM"/>
    <x:tableColumn id="7" name="df"/>
    <x:tableColumn id="8" name="Interaction P"/>
    <x:tableColumn id="9" name="Residual I²"/>
    <x:tableColumn id="10" name="Residual tau²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deratorModelsTable" displayName="ModeratorModelsTable" ref="A4:J18" headerRowCount="1" totalsRowCount="0" totalsRowShown="0">
  <x:tableColumns count="10">
    <x:tableColumn id="1" name="ID"/>
    <x:tableColumn id="2" name="Outcome"/>
    <x:tableColumn id="3" name="Measure"/>
    <x:tableColumn id="4" name="k"/>
    <x:tableColumn id="5" name="Moderator"/>
    <x:tableColumn id="6" name="Slope"/>
    <x:tableColumn id="7" name="CI low"/>
    <x:tableColumn id="8" name="CI high"/>
    <x:tableColumn id="9" name="P"/>
    <x:tableColumn id="10" name="I² (%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eaveOneOutTable" displayName="LeaveOneOutTable" ref="A4:J45" headerRowCount="1" totalsRowCount="0" totalsRowShown="0">
  <x:tableColumns count="10">
    <x:tableColumn id="1" name="ID"/>
    <x:tableColumn id="2" name="Outcome"/>
    <x:tableColumn id="3" name="Measure"/>
    <x:tableColumn id="4" name="Omitted antibody"/>
    <x:tableColumn id="5" name="k"/>
    <x:tableColumn id="6" name="Estimate"/>
    <x:tableColumn id="7" name="CI low"/>
    <x:tableColumn id="8" name="CI high"/>
    <x:tableColumn id="9" name="P"/>
    <x:tableColumn id="10" name="I² (%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ialAnnotationsTable" displayName="TrialAnnotationsTable" ref="A4:H21" headerRowCount="1" totalsRowCount="0" totalsRowShown="0">
  <x:tableColumns count="8">
    <x:tableColumn id="1" name="Study"/>
    <x:tableColumn id="2" name="Antibody"/>
    <x:tableColumn id="3" name="Target class"/>
    <x:tableColumn id="4" name="Target detail"/>
    <x:tableColumn id="5" name="Termination status"/>
    <x:tableColumn id="6" name="Reason"/>
    <x:tableColumn id="7" name="Biomarker requirement"/>
    <x:tableColumn id="8" name="Status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b98d20a32d845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2c235a303c3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d8092fe9f2a4e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1ad6afae118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21f5a79aa4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a6222de622e4d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a7675a1ce0542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7470e1c399048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8213bf8620547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8e47379e804e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b7a3a2242741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76dd50de23a4d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8" hidden="0" customWidth="1"/>
  </x:cols>
  <x:sheetData>
    <x:row r="1" ht="34" customHeight="1">
      <x:c r="A1" s="3" t="str">
        <x:v>Extended anti-amyloid antibody reanalysis</x:v>
      </x:c>
    </x:row>
    <x:row r="2" ht="32" customHeight="1">
      <x:c r="A2" s="7" t="str">
        <x:v>Companion workbook for the additional criticisms raised in Snyder et al. (2026).</x:v>
      </x:c>
    </x:row>
    <x:row r="4" ht="46" customHeight="1">
      <x:c r="A4" s="15" t="str">
        <x:v>Purpose</x:v>
      </x:c>
      <x:c r="B4" s="16" t="str">
        <x:v>Extend the prior plaque-clearance package with individual-drug, trial-termination, target-class, absolute-harm, MID compatibility, influence, and functional-unblinding-proxy analyses.</x:v>
      </x:c>
    </x:row>
    <x:row r="5" ht="46" customHeight="1">
      <x:c r="A5" s="17" t="str">
        <x:v>Primary source</x:v>
      </x:c>
      <x:c r="B5" s="18" t="str">
        <x:v>Cochrane CD016297 supplied review and row-level analysis package.</x:v>
      </x:c>
    </x:row>
    <x:row r="6" ht="46" customHeight="1">
      <x:c r="A6" s="17" t="str">
        <x:v>Models</x:v>
      </x:c>
      <x:c r="B6" s="18" t="str">
        <x:v>Inverse-variance random effects; REML with Hartung-Knapp for k&gt;=3, Wald for k&lt;=2. DL fallback only for sparse nonconvergence.</x:v>
      </x:c>
    </x:row>
    <x:row r="7" ht="46" customHeight="1">
      <x:c r="A7" s="17" t="str">
        <x:v>Termination coding</x:v>
      </x:c>
      <x:c r="B7" s="18" t="str">
        <x:v>Cochrane reports six futility terminations, two symptomatic ARIA-E terminations, and one unexplained termination. The trial map reconciles exactly.</x:v>
      </x:c>
    </x:row>
    <x:row r="8" ht="46" customHeight="1">
      <x:c r="A8" s="17" t="str">
        <x:v>Target classes</x:v>
      </x:c>
      <x:c r="B8" s="18" t="str">
        <x:v>Predominant binding preference only: soluble monomer; soluble aggregate-preferring; aggregated/fibrillar; pyroglutamate plaque. Categories overlap biologically.</x:v>
      </x:c>
    </x:row>
    <x:row r="9" ht="46" customHeight="1">
      <x:c r="A9" s="17" t="str">
        <x:v>MID analysis</x:v>
      </x:c>
      <x:c r="B9" s="18" t="str">
        <x:v>Uses only ADAS-Cog and CDR-SB thresholds cited by Cochrane. It does not endorse them or treat them as a guideline decision threshold.</x:v>
      </x:c>
    </x:row>
    <x:row r="10" ht="46" customHeight="1">
      <x:c r="A10" s="17" t="str">
        <x:v>Absolute safety</x:v>
      </x:c>
      <x:c r="B10" s="18" t="str">
        <x:v>Risk difference is active minus placebo. Positive values are excess harm. NNH/NNTB is displayed only when the 95% CI excludes zero.</x:v>
      </x:c>
    </x:row>
    <x:row r="11" ht="46" customHeight="1">
      <x:c r="A11" s="17" t="str">
        <x:v>Multiplicity</x:v>
      </x:c>
      <x:c r="B11" s="18" t="str">
        <x:v>All new interactions and moderators are exploratory and unadjusted for multiplicity.</x:v>
      </x:c>
    </x:row>
    <x:row r="12" ht="46" customHeight="1">
      <x:c r="A12" s="19" t="str">
        <x:v>Scope</x:v>
      </x:c>
      <x:c r="B12" s="20" t="str">
        <x:v>Aggregate-data evidence synthesis, not individual-level mediation, a head-to-head comparison, or clinical guidance.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66" hidden="0" customWidth="1"/>
  </x:cols>
  <x:sheetData>
    <x:row r="1" ht="34" customHeight="1">
      <x:c r="A1" s="3" t="str">
        <x:v>Key findings</x:v>
      </x:c>
    </x:row>
    <x:row r="2" ht="32" customHeight="1">
      <x:c r="A2" s="7" t="str">
        <x:v>Treatment-specific clinical effects and absolute harms from the extended reanalysis.</x:v>
      </x:c>
    </x:row>
    <x:row r="5">
      <x:c r="A5" s="22" t="str">
        <x:v>Finding</x:v>
      </x:c>
      <x:c r="B5" s="22" t="str">
        <x:v>Value</x:v>
      </x:c>
      <x:c r="C5" s="22" t="str">
        <x:v>Interpretation</x:v>
      </x:c>
    </x:row>
    <x:row r="6">
      <x:c r="A6" s="26" t="str">
        <x:v>ADAS-Cog interaction P</x:v>
      </x:c>
      <x:c r="B6" s="29" t="n">
        <x:v>0.432782</x:v>
      </x:c>
      <x:c r="C6" s="26" t="str">
        <x:v>No statistically established between-antibody interaction; low power.</x:v>
      </x:c>
    </x:row>
    <x:row r="7">
      <x:c r="A7" s="27" t="str">
        <x:v>CDR-SB interaction P</x:v>
      </x:c>
      <x:c r="B7" s="30" t="n">
        <x:v>0.394905</x:v>
      </x:c>
      <x:c r="C7" s="27" t="str">
        <x:v>No statistically established between-antibody interaction; low power.</x:v>
      </x:c>
    </x:row>
    <x:row r="8">
      <x:c r="A8" s="27" t="str">
        <x:v>Lecanemab ADAS-Cog MD</x:v>
      </x:c>
      <x:c r="B8" s="30" t="n">
        <x:v>-1.44</x:v>
      </x:c>
      <x:c r="C8" s="27" t="str">
        <x:v>95% CI -2.27 to -0.61 points.</x:v>
      </x:c>
    </x:row>
    <x:row r="9">
      <x:c r="A9" s="27" t="str">
        <x:v>Donanemab ADAS-Cog MD</x:v>
      </x:c>
      <x:c r="B9" s="30" t="n">
        <x:v>-1.35</x:v>
      </x:c>
      <x:c r="C9" s="27" t="str">
        <x:v>95% CI -2.20 to -0.50 points.</x:v>
      </x:c>
    </x:row>
    <x:row r="10">
      <x:c r="A10" s="27" t="str">
        <x:v>Lecanemab ARIA-E excess / 1,000</x:v>
      </x:c>
      <x:c r="B10" s="30" t="n">
        <x:v>109.1</x:v>
      </x:c>
      <x:c r="C10" s="27" t="str">
        <x:v>95% CI 85.9 to 132.4; NNH 9.2.</x:v>
      </x:c>
    </x:row>
    <x:row r="11">
      <x:c r="A11" s="27" t="str">
        <x:v>Donanemab ARIA-E excess / 1,000</x:v>
      </x:c>
      <x:c r="B11" s="30" t="n">
        <x:v>219.7</x:v>
      </x:c>
      <x:c r="C11" s="27" t="str">
        <x:v>95% CI 189.6 to 249.9; NNH 4.6.</x:v>
      </x:c>
    </x:row>
    <x:row r="12">
      <x:c r="A12" s="27" t="str">
        <x:v>Aducanumab ARIA-E excess / 1,000</x:v>
      </x:c>
      <x:c r="B12" s="30" t="n">
        <x:v>326.3</x:v>
      </x:c>
      <x:c r="C12" s="27" t="str">
        <x:v>95% CI 296.4 to 356.3; NNH 3.1.</x:v>
      </x:c>
    </x:row>
    <x:row r="13">
      <x:c r="A13" s="27" t="str">
        <x:v>ADAS-Cog SMD after excluding futility</x:v>
      </x:c>
      <x:c r="B13" s="30" t="n">
        <x:v>-0.1089</x:v>
      </x:c>
      <x:c r="C13" s="27" t="str">
        <x:v>Nearly unchanged from class pool -0.1106.</x:v>
      </x:c>
    </x:row>
    <x:row r="14">
      <x:c r="A14" s="28" t="str">
        <x:v>CDR-SB SMD after excluding futility</x:v>
      </x:c>
      <x:c r="B14" s="31" t="n">
        <x:v>-0.1475</x:v>
      </x:c>
      <x:c r="C14" s="28" t="str">
        <x:v>Numerically larger; 95% CI includes zero.</x:v>
      </x:c>
    </x:row>
    <x:row r="17">
      <x:c r="A17" t="str">
        <x:v>Agent</x:v>
      </x:c>
      <x:c r="B17" t="str">
        <x:v>ARIA-E excess / 1,000</x:v>
      </x:c>
    </x:row>
    <x:row r="18">
      <x:c r="A18" t="str">
        <x:v>Aducanumab</x:v>
      </x:c>
      <x:c r="B18" t="n">
        <x:v>326.344</x:v>
      </x:c>
    </x:row>
    <x:row r="19">
      <x:c r="A19" t="str">
        <x:v>Donanemab</x:v>
      </x:c>
      <x:c r="B19" t="n">
        <x:v>219.733</x:v>
      </x:c>
    </x:row>
    <x:row r="20">
      <x:c r="A20" t="str">
        <x:v>Lecanemab</x:v>
      </x:c>
      <x:c r="B20" t="n">
        <x:v>109.113</x:v>
      </x:c>
    </x:row>
    <x:row r="36" ht="44" customHeight="1">
      <x:c r="A36" s="35" t="str">
        <x:v>Interpretation: individual-drug estimates and absolute safety are more decision-relevant than a single class average. Formal interactions remain underpowered, and no composite net-benefit ranking is imposed.</x:v>
      </x:c>
    </x:row>
  </x:sheetData>
  <x:mergeCells>
    <x:mergeCell ref="A1:L1"/>
    <x:mergeCell ref="A2:L2"/>
    <x:mergeCell ref="A36:L36"/>
  </x:mergeCells>
  <x:pageMargins left="0.7" right="0.7" top="0.75" bottom="0.75" header="0.3" footer="0.3"/>
  <x:drawing xmlns:r="http://schemas.openxmlformats.org/officeDocument/2006/relationships" r:id="R8b98d20a32d8456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4" customHeight="1">
      <x:c r="A1" s="3" t="str">
        <x:v>Benefit-harm matrix</x:v>
      </x:c>
    </x:row>
    <x:row r="2" ht="32" customHeight="1">
      <x:c r="A2" s="7" t="str">
        <x:v>Separate clinical and safety dimensions; no patient-preference weights or composite utility.</x:v>
      </x:c>
    </x:row>
    <x:row r="5" ht="28" customHeight="1">
      <x:c r="A5" s="39" t="str">
        <x:v>Agent</x:v>
      </x:c>
      <x:c r="B5" s="40" t="str">
        <x:v>ADAS-Cog MD</x:v>
      </x:c>
      <x:c r="C5" s="40" t="str">
        <x:v>ADAS CI low</x:v>
      </x:c>
      <x:c r="D5" s="40" t="str">
        <x:v>ADAS CI high</x:v>
      </x:c>
      <x:c r="E5" s="40" t="str">
        <x:v>CDR-SB MD</x:v>
      </x:c>
      <x:c r="F5" s="40" t="str">
        <x:v>CDR CI low</x:v>
      </x:c>
      <x:c r="G5" s="40" t="str">
        <x:v>CDR CI high</x:v>
      </x:c>
      <x:c r="H5" s="40" t="str">
        <x:v>ARIA-E excess / 1,000</x:v>
      </x:c>
      <x:c r="I5" s="41" t="str">
        <x:v>Discontinuation excess / 1,000</x:v>
      </x:c>
    </x:row>
    <x:row r="6">
      <x:c r="A6" s="49" t="str">
        <x:v>Aducanumab</x:v>
      </x:c>
      <x:c r="B6" s="52" t="n">
        <x:v>-1.2755515805299</x:v>
      </x:c>
      <x:c r="C6" s="52" t="n">
        <x:v>-2.876602670681677</x:v>
      </x:c>
      <x:c r="D6" s="52" t="n">
        <x:v>0.3254995096218778</x:v>
      </x:c>
      <x:c r="E6" s="52" t="n">
        <x:v>-0.03743362691017734</x:v>
      </x:c>
      <x:c r="F6" s="52" t="n">
        <x:v>-1.294725436993736</x:v>
      </x:c>
      <x:c r="G6" s="52" t="n">
        <x:v>1.219858183173381</x:v>
      </x:c>
      <x:c r="H6" s="55" t="n">
        <x:v>326.34445196067946</x:v>
      </x:c>
      <x:c r="I6" s="55" t="n">
        <x:v>28.28670422288841</x:v>
      </x:c>
    </x:row>
    <x:row r="7">
      <x:c r="A7" s="50" t="str">
        <x:v>Lecanemab</x:v>
      </x:c>
      <x:c r="B7" s="53" t="n">
        <x:v>-1.44</x:v>
      </x:c>
      <x:c r="C7" s="53" t="n">
        <x:v>-2.270355336365532</x:v>
      </x:c>
      <x:c r="D7" s="53" t="n">
        <x:v>-0.6096446636344685</x:v>
      </x:c>
      <x:c r="E7" s="53" t="n">
        <x:v>-0.45</x:v>
      </x:c>
      <x:c r="F7" s="53" t="n">
        <x:v>-0.6702865019455746</x:v>
      </x:c>
      <x:c r="G7" s="53" t="n">
        <x:v>-0.2297134980544253</x:v>
      </x:c>
      <x:c r="H7" s="56" t="n">
        <x:v>109.11278128282099</x:v>
      </x:c>
      <x:c r="I7" s="56" t="n">
        <x:v>32.12018284159274</x:v>
      </x:c>
    </x:row>
    <x:row r="8">
      <x:c r="A8" s="51" t="str">
        <x:v>Donanemab</x:v>
      </x:c>
      <x:c r="B8" s="54" t="n">
        <x:v>-1.35</x:v>
      </x:c>
      <x:c r="C8" s="54" t="n">
        <x:v>-2.195514936058867</x:v>
      </x:c>
      <x:c r="D8" s="54" t="n">
        <x:v>-0.5044850639411324</x:v>
      </x:c>
      <x:c r="E8" s="54" t="n">
        <x:v>-0.7</x:v>
      </x:c>
      <x:c r="F8" s="54" t="n">
        <x:v>-0.9636862123777886</x:v>
      </x:c>
      <x:c r="G8" s="54" t="n">
        <x:v>-0.4363137876222113</x:v>
      </x:c>
      <x:c r="H8" s="57" t="n">
        <x:v>219.7332875488584</x:v>
      </x:c>
      <x:c r="I8" s="57" t="n">
        <x:v>71.11606668790485</x:v>
      </x:c>
    </x:row>
    <x:row r="11">
      <x:c r="A11" s="35" t="str">
        <x:v>Caution: these are cross-trial, aggregate comparisons. They are not randomized head-to-head contrasts and do not account for APOE genotype, MRI risk, treatment burden, cost, or patient preferences.</x:v>
      </x:c>
    </x:row>
  </x:sheetData>
  <x:mergeCells>
    <x:mergeCell ref="A1:L1"/>
    <x:mergeCell ref="A2:L2"/>
    <x:mergeCell ref="A11:I13"/>
  </x:mergeCells>
  <x:pageMargins left="0.7" right="0.7" top="0.75" bottom="0.75" header="0.3" footer="0.3"/>
  <x:tableParts count="1">
    <x:tablePart xmlns:r="http://schemas.openxmlformats.org/officeDocument/2006/relationships" r:id="Rb2c235a303c34a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Individual-antibody results</x:v>
      </x:c>
    </x:row>
    <x:row r="2" ht="32" customHeight="1">
      <x:c r="A2" s="7" t="str">
        <x:v>All Cochrane outcome settings estimated separately by antibody.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Agent</x:v>
      </x:c>
      <x:c r="E4" s="40" t="str">
        <x:v>k</x:v>
      </x:c>
      <x:c r="F4" s="40" t="str">
        <x:v>Estimate</x:v>
      </x:c>
      <x:c r="G4" s="40" t="str">
        <x:v>CI low</x:v>
      </x:c>
      <x:c r="H4" s="40" t="str">
        <x:v>CI high</x:v>
      </x:c>
      <x:c r="I4" s="40" t="str">
        <x:v>P</x:v>
      </x:c>
      <x:c r="J4" s="40" t="str">
        <x:v>I² (%)</x:v>
      </x:c>
      <x:c r="K4" s="40" t="str">
        <x:v>Prediction low</x:v>
      </x:c>
      <x:c r="L4" s="41" t="str">
        <x:v>Prediction high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49" t="str">
        <x:v>Aducanumab</x:v>
      </x:c>
      <x:c r="E5" s="58" t="n">
        <x:v>3</x:v>
      </x:c>
      <x:c r="F5" s="61" t="n">
        <x:v>-0.1414547250361362</x:v>
      </x:c>
      <x:c r="G5" s="61" t="n">
        <x:v>-0.4684728948260115</x:v>
      </x:c>
      <x:c r="H5" s="61" t="n">
        <x:v>0.1855634447537392</x:v>
      </x:c>
      <x:c r="I5" s="64" t="n">
        <x:v>0.2037838028575492</x:v>
      </x:c>
      <x:c r="J5" s="55" t="n">
        <x:v>25.02995768945546</x:v>
      </x:c>
      <x:c r="K5" s="61" t="n">
        <x:v>-0.5746103426759278</x:v>
      </x:c>
      <x:c r="L5" s="61" t="n">
        <x:v>0.2917008926036555</x:v>
      </x:c>
    </x:row>
    <x:row r="6">
      <x:c r="A6" s="50" t="str">
        <x:v>1.1</x:v>
      </x:c>
      <x:c r="B6" s="50" t="str">
        <x:v>ADAS-Cog scale at 18 months</x:v>
      </x:c>
      <x:c r="C6" s="50" t="str">
        <x:v>SMD</x:v>
      </x:c>
      <x:c r="D6" s="50" t="str">
        <x:v>Bapineuzumab</x:v>
      </x:c>
      <x:c r="E6" s="59" t="n">
        <x:v>4</x:v>
      </x:c>
      <x:c r="F6" s="62" t="n">
        <x:v>-0.01951597074706601</x:v>
      </x:c>
      <x:c r="G6" s="62" t="n">
        <x:v>-0.136123464052032</x:v>
      </x:c>
      <x:c r="H6" s="62" t="n">
        <x:v>0.09709152255789998</x:v>
      </x:c>
      <x:c r="I6" s="65" t="n">
        <x:v>0.6312179337933</x:v>
      </x:c>
      <x:c r="J6" s="56" t="n">
        <x:v>0</x:v>
      </x:c>
      <x:c r="K6" s="62" t="n">
        <x:v>-0.136123464052032</x:v>
      </x:c>
      <x:c r="L6" s="62" t="n">
        <x:v>0.09709152255789998</x:v>
      </x:c>
    </x:row>
    <x:row r="7">
      <x:c r="A7" s="50" t="str">
        <x:v>1.1</x:v>
      </x:c>
      <x:c r="B7" s="50" t="str">
        <x:v>ADAS-Cog scale at 18 months</x:v>
      </x:c>
      <x:c r="C7" s="50" t="str">
        <x:v>SMD</x:v>
      </x:c>
      <x:c r="D7" s="50" t="str">
        <x:v>Crenezumab</x:v>
      </x:c>
      <x:c r="E7" s="59" t="n">
        <x:v>1</x:v>
      </x:c>
      <x:c r="F7" s="62" t="n">
        <x:v>-0.3377306247437116</x:v>
      </x:c>
      <x:c r="G7" s="62" t="n">
        <x:v>-1.103053662235245</x:v>
      </x:c>
      <x:c r="H7" s="62" t="n">
        <x:v>0.4275924127478214</x:v>
      </x:c>
      <x:c r="I7" s="65" t="n">
        <x:v>0.3870850954064662</x:v>
      </x:c>
      <x:c r="J7" s="56"/>
      <x:c r="K7" s="62"/>
      <x:c r="L7" s="62"/>
    </x:row>
    <x:row r="8">
      <x:c r="A8" s="50" t="str">
        <x:v>1.1</x:v>
      </x:c>
      <x:c r="B8" s="50" t="str">
        <x:v>ADAS-Cog scale at 18 months</x:v>
      </x:c>
      <x:c r="C8" s="50" t="str">
        <x:v>SMD</x:v>
      </x:c>
      <x:c r="D8" s="50" t="str">
        <x:v>Donanemab</x:v>
      </x:c>
      <x:c r="E8" s="59" t="n">
        <x:v>1</x:v>
      </x:c>
      <x:c r="F8" s="62" t="n">
        <x:v>-0.174616059963367</x:v>
      </x:c>
      <x:c r="G8" s="62" t="n">
        <x:v>-0.2843821141874234</x:v>
      </x:c>
      <x:c r="H8" s="62" t="n">
        <x:v>-0.06485000573931066</x:v>
      </x:c>
      <x:c r="I8" s="65" t="n">
        <x:v>0.001821355395700852</x:v>
      </x:c>
      <x:c r="J8" s="56"/>
      <x:c r="K8" s="62"/>
      <x:c r="L8" s="62"/>
    </x:row>
    <x:row r="9">
      <x:c r="A9" s="50" t="str">
        <x:v>1.1</x:v>
      </x:c>
      <x:c r="B9" s="50" t="str">
        <x:v>ADAS-Cog scale at 18 months</x:v>
      </x:c>
      <x:c r="C9" s="50" t="str">
        <x:v>SMD</x:v>
      </x:c>
      <x:c r="D9" s="50" t="str">
        <x:v>Gantenerumab</x:v>
      </x:c>
      <x:c r="E9" s="59" t="n">
        <x:v>1</x:v>
      </x:c>
      <x:c r="F9" s="62" t="n">
        <x:v>-0.02475644808313742</x:v>
      </x:c>
      <x:c r="G9" s="62" t="n">
        <x:v>-0.236788103392412</x:v>
      </x:c>
      <x:c r="H9" s="62" t="n">
        <x:v>0.1872752072261371</x:v>
      </x:c>
      <x:c r="I9" s="65" t="n">
        <x:v>0.8189917268245348</x:v>
      </x:c>
      <x:c r="J9" s="56"/>
      <x:c r="K9" s="62"/>
      <x:c r="L9" s="62"/>
    </x:row>
    <x:row r="10">
      <x:c r="A10" s="50" t="str">
        <x:v>1.1</x:v>
      </x:c>
      <x:c r="B10" s="50" t="str">
        <x:v>ADAS-Cog scale at 18 months</x:v>
      </x:c>
      <x:c r="C10" s="50" t="str">
        <x:v>SMD</x:v>
      </x:c>
      <x:c r="D10" s="50" t="str">
        <x:v>Lecanemab</x:v>
      </x:c>
      <x:c r="E10" s="59" t="n">
        <x:v>1</x:v>
      </x:c>
      <x:c r="F10" s="62" t="n">
        <x:v>-0.1635651657986684</x:v>
      </x:c>
      <x:c r="G10" s="62" t="n">
        <x:v>-0.2580817150082259</x:v>
      </x:c>
      <x:c r="H10" s="62" t="n">
        <x:v>-0.06904861658911086</x:v>
      </x:c>
      <x:c r="I10" s="65" t="n">
        <x:v>0.0006943348831930687</x:v>
      </x:c>
      <x:c r="J10" s="56"/>
      <x:c r="K10" s="62"/>
      <x:c r="L10" s="62"/>
    </x:row>
    <x:row r="11">
      <x:c r="A11" s="50" t="str">
        <x:v>1.1</x:v>
      </x:c>
      <x:c r="B11" s="50" t="str">
        <x:v>ADAS-Cog scale at 18 months</x:v>
      </x:c>
      <x:c r="C11" s="50" t="str">
        <x:v>SMD</x:v>
      </x:c>
      <x:c r="D11" s="50" t="str">
        <x:v>Solanezumab</x:v>
      </x:c>
      <x:c r="E11" s="59" t="n">
        <x:v>2</x:v>
      </x:c>
      <x:c r="F11" s="62" t="n">
        <x:v>-0.1144198139408974</x:v>
      </x:c>
      <x:c r="G11" s="62" t="n">
        <x:v>-0.2050618936149475</x:v>
      </x:c>
      <x:c r="H11" s="62" t="n">
        <x:v>-0.02377773426684723</x:v>
      </x:c>
      <x:c r="I11" s="65" t="n">
        <x:v>0.013356757964666</x:v>
      </x:c>
      <x:c r="J11" s="56" t="n">
        <x:v>43.543421152056055</x:v>
      </x:c>
      <x:c r="K11" s="62"/>
      <x:c r="L11" s="62"/>
    </x:row>
    <x:row r="12">
      <x:c r="A12" s="50" t="str">
        <x:v>1.2</x:v>
      </x:c>
      <x:c r="B12" s="50" t="str">
        <x:v>ADAS-Cog scale at 24 months</x:v>
      </x:c>
      <x:c r="C12" s="50" t="str">
        <x:v>SMD</x:v>
      </x:c>
      <x:c r="D12" s="50" t="str">
        <x:v>Crenezumab</x:v>
      </x:c>
      <x:c r="E12" s="59" t="n">
        <x:v>1</x:v>
      </x:c>
      <x:c r="F12" s="62" t="n">
        <x:v>0.035927</x:v>
      </x:c>
      <x:c r="G12" s="62" t="n">
        <x:v>-0.2685416452143902</x:v>
      </x:c>
      <x:c r="H12" s="62" t="n">
        <x:v>0.3403956452143902</x:v>
      </x:c>
      <x:c r="I12" s="65" t="n">
        <x:v>0.8171020854746134</x:v>
      </x:c>
      <x:c r="J12" s="56"/>
      <x:c r="K12" s="62"/>
      <x:c r="L12" s="62"/>
    </x:row>
    <x:row r="13">
      <x:c r="A13" s="50" t="str">
        <x:v>1.2</x:v>
      </x:c>
      <x:c r="B13" s="50" t="str">
        <x:v>ADAS-Cog scale at 24 months</x:v>
      </x:c>
      <x:c r="C13" s="50" t="str">
        <x:v>SMD</x:v>
      </x:c>
      <x:c r="D13" s="50" t="str">
        <x:v>Gantenerumab</x:v>
      </x:c>
      <x:c r="E13" s="59" t="n">
        <x:v>1</x:v>
      </x:c>
      <x:c r="F13" s="62" t="n">
        <x:v>-0.584878</x:v>
      </x:c>
      <x:c r="G13" s="62" t="n">
        <x:v>-1.204363816593575</x:v>
      </x:c>
      <x:c r="H13" s="62" t="n">
        <x:v>0.03460781659357481</x:v>
      </x:c>
      <x:c r="I13" s="65" t="n">
        <x:v>0.06424586215544333</x:v>
      </x:c>
      <x:c r="J13" s="56"/>
      <x:c r="K13" s="62"/>
      <x:c r="L13" s="62"/>
    </x:row>
    <x:row r="14">
      <x:c r="A14" s="50" t="str">
        <x:v>1.3</x:v>
      </x:c>
      <x:c r="B14" s="50" t="str">
        <x:v>ADAS-Cog scale above 24 months</x:v>
      </x:c>
      <x:c r="C14" s="50" t="str">
        <x:v>SMD</x:v>
      </x:c>
      <x:c r="D14" s="50" t="str">
        <x:v>Gantenerumab</x:v>
      </x:c>
      <x:c r="E14" s="59" t="n">
        <x:v>2</x:v>
      </x:c>
      <x:c r="F14" s="62" t="n">
        <x:v>-0.1176549874200436</x:v>
      </x:c>
      <x:c r="G14" s="62" t="n">
        <x:v>-0.2063118610737351</x:v>
      </x:c>
      <x:c r="H14" s="62" t="n">
        <x:v>-0.02899811376635211</x:v>
      </x:c>
      <x:c r="I14" s="65" t="n">
        <x:v>0.009294325651543705</x:v>
      </x:c>
      <x:c r="J14" s="56" t="n">
        <x:v>0</x:v>
      </x:c>
      <x:c r="K14" s="62"/>
      <x:c r="L14" s="62"/>
    </x:row>
    <x:row r="15">
      <x:c r="A15" s="50" t="str">
        <x:v>1.4</x:v>
      </x:c>
      <x:c r="B15" s="50" t="str">
        <x:v>MMSE scale at 18 months</x:v>
      </x:c>
      <x:c r="C15" s="50" t="str">
        <x:v>SMD</x:v>
      </x:c>
      <x:c r="D15" s="50" t="str">
        <x:v>Aducanumab</x:v>
      </x:c>
      <x:c r="E15" s="59" t="n">
        <x:v>3</x:v>
      </x:c>
      <x:c r="F15" s="62" t="n">
        <x:v>0.09311476170367355</x:v>
      </x:c>
      <x:c r="G15" s="62" t="n">
        <x:v>-0.7132183701912456</x:v>
      </x:c>
      <x:c r="H15" s="62" t="n">
        <x:v>0.8994478935985926</x:v>
      </x:c>
      <x:c r="I15" s="65" t="n">
        <x:v>0.6685250789774864</x:v>
      </x:c>
      <x:c r="J15" s="56" t="n">
        <x:v>55.2514639436237</x:v>
      </x:c>
      <x:c r="K15" s="62" t="n">
        <x:v>-0.8820861733843395</x:v>
      </x:c>
      <x:c r="L15" s="62" t="n">
        <x:v>1.068315696791687</x:v>
      </x:c>
    </x:row>
    <x:row r="16">
      <x:c r="A16" s="50" t="str">
        <x:v>1.4</x:v>
      </x:c>
      <x:c r="B16" s="50" t="str">
        <x:v>MMSE scale at 18 months</x:v>
      </x:c>
      <x:c r="C16" s="50" t="str">
        <x:v>SMD</x:v>
      </x:c>
      <x:c r="D16" s="50" t="str">
        <x:v>Crenezumab</x:v>
      </x:c>
      <x:c r="E16" s="59" t="n">
        <x:v>1</x:v>
      </x:c>
      <x:c r="F16" s="62" t="n">
        <x:v>0.1679388492738122</x:v>
      </x:c>
      <x:c r="G16" s="62" t="n">
        <x:v>-0.5926977031526056</x:v>
      </x:c>
      <x:c r="H16" s="62" t="n">
        <x:v>0.92857540170023</x:v>
      </x:c>
      <x:c r="I16" s="65" t="n">
        <x:v>0.6652072637196613</x:v>
      </x:c>
      <x:c r="J16" s="56"/>
      <x:c r="K16" s="62"/>
      <x:c r="L16" s="62"/>
    </x:row>
    <x:row r="17">
      <x:c r="A17" s="50" t="str">
        <x:v>1.4</x:v>
      </x:c>
      <x:c r="B17" s="50" t="str">
        <x:v>MMSE scale at 18 months</x:v>
      </x:c>
      <x:c r="C17" s="50" t="str">
        <x:v>SMD</x:v>
      </x:c>
      <x:c r="D17" s="50" t="str">
        <x:v>Donanemab</x:v>
      </x:c>
      <x:c r="E17" s="59" t="n">
        <x:v>1</x:v>
      </x:c>
      <x:c r="F17" s="62" t="n">
        <x:v>0.1455607115873234</x:v>
      </x:c>
      <x:c r="G17" s="62" t="n">
        <x:v>0.03559766079525882</x:v>
      </x:c>
      <x:c r="H17" s="62" t="n">
        <x:v>0.255523762379388</x:v>
      </x:c>
      <x:c r="I17" s="65" t="n">
        <x:v>0.009474210427497128</x:v>
      </x:c>
      <x:c r="J17" s="56"/>
      <x:c r="K17" s="62"/>
      <x:c r="L17" s="62"/>
    </x:row>
    <x:row r="18">
      <x:c r="A18" s="50" t="str">
        <x:v>1.4</x:v>
      </x:c>
      <x:c r="B18" s="50" t="str">
        <x:v>MMSE scale at 18 months</x:v>
      </x:c>
      <x:c r="C18" s="50" t="str">
        <x:v>SMD</x:v>
      </x:c>
      <x:c r="D18" s="50" t="str">
        <x:v>Gantenerumab</x:v>
      </x:c>
      <x:c r="E18" s="59" t="n">
        <x:v>1</x:v>
      </x:c>
      <x:c r="F18" s="62" t="n">
        <x:v>0.04808638527620419</x:v>
      </x:c>
      <x:c r="G18" s="62" t="n">
        <x:v>-0.1639680377132999</x:v>
      </x:c>
      <x:c r="H18" s="62" t="n">
        <x:v>0.2601408082657082</x:v>
      </x:c>
      <x:c r="I18" s="65" t="n">
        <x:v>0.6567172878250234</x:v>
      </x:c>
      <x:c r="J18" s="56"/>
      <x:c r="K18" s="62"/>
      <x:c r="L18" s="62"/>
    </x:row>
    <x:row r="19">
      <x:c r="A19" s="50" t="str">
        <x:v>1.4</x:v>
      </x:c>
      <x:c r="B19" s="50" t="str">
        <x:v>MMSE scale at 18 months</x:v>
      </x:c>
      <x:c r="C19" s="50" t="str">
        <x:v>SMD</x:v>
      </x:c>
      <x:c r="D19" s="50" t="str">
        <x:v>Solanezumab</x:v>
      </x:c>
      <x:c r="E19" s="59" t="n">
        <x:v>2</x:v>
      </x:c>
      <x:c r="F19" s="62" t="n">
        <x:v>0.1230829455677149</x:v>
      </x:c>
      <x:c r="G19" s="62" t="n">
        <x:v>0.0562864755803479</x:v>
      </x:c>
      <x:c r="H19" s="62" t="n">
        <x:v>0.1898794155550819</x:v>
      </x:c>
      <x:c r="I19" s="65" t="n">
        <x:v>0.0003043838213230814</x:v>
      </x:c>
      <x:c r="J19" s="56" t="n">
        <x:v>0</x:v>
      </x:c>
      <x:c r="K19" s="62"/>
      <x:c r="L19" s="62"/>
    </x:row>
    <x:row r="20">
      <x:c r="A20" s="50" t="str">
        <x:v>1.5</x:v>
      </x:c>
      <x:c r="B20" s="50" t="str">
        <x:v>MMSE scale at 24 months</x:v>
      </x:c>
      <x:c r="C20" s="50" t="str">
        <x:v>SMD</x:v>
      </x:c>
      <x:c r="D20" s="50" t="str">
        <x:v>Crenezumab</x:v>
      </x:c>
      <x:c r="E20" s="59" t="n">
        <x:v>1</x:v>
      </x:c>
      <x:c r="F20" s="62" t="n">
        <x:v>-0.094021</x:v>
      </x:c>
      <x:c r="G20" s="62" t="n">
        <x:v>-0.3888701419782675</x:v>
      </x:c>
      <x:c r="H20" s="62" t="n">
        <x:v>0.2008281419782676</x:v>
      </x:c>
      <x:c r="I20" s="65" t="n">
        <x:v>0.5319776023153626</x:v>
      </x:c>
      <x:c r="J20" s="56"/>
      <x:c r="K20" s="62"/>
      <x:c r="L20" s="62"/>
    </x:row>
    <x:row r="21">
      <x:c r="A21" s="50" t="str">
        <x:v>1.5</x:v>
      </x:c>
      <x:c r="B21" s="50" t="str">
        <x:v>MMSE scale at 24 months</x:v>
      </x:c>
      <x:c r="C21" s="50" t="str">
        <x:v>SMD</x:v>
      </x:c>
      <x:c r="D21" s="50" t="str">
        <x:v>Gantenerumab</x:v>
      </x:c>
      <x:c r="E21" s="59" t="n">
        <x:v>1</x:v>
      </x:c>
      <x:c r="F21" s="62" t="n">
        <x:v>0.184919</x:v>
      </x:c>
      <x:c r="G21" s="62" t="n">
        <x:v>-0.4267622400071364</x:v>
      </x:c>
      <x:c r="H21" s="62" t="n">
        <x:v>0.7966002400071364</x:v>
      </x:c>
      <x:c r="I21" s="65" t="n">
        <x:v>0.5535011059778423</x:v>
      </x:c>
      <x:c r="J21" s="56"/>
      <x:c r="K21" s="62"/>
      <x:c r="L21" s="62"/>
    </x:row>
    <x:row r="22">
      <x:c r="A22" s="50" t="str">
        <x:v>1.6</x:v>
      </x:c>
      <x:c r="B22" s="50" t="str">
        <x:v>ADAS-Cog 24 months mean difference</x:v>
      </x:c>
      <x:c r="C22" s="50" t="str">
        <x:v>MD</x:v>
      </x:c>
      <x:c r="D22" s="50" t="str">
        <x:v>Crenezumab</x:v>
      </x:c>
      <x:c r="E22" s="59" t="n">
        <x:v>1</x:v>
      </x:c>
      <x:c r="F22" s="62" t="n">
        <x:v>0.26</x:v>
      </x:c>
      <x:c r="G22" s="62" t="n">
        <x:v>-1.876360743148659</x:v>
      </x:c>
      <x:c r="H22" s="62" t="n">
        <x:v>2.39636074314866</x:v>
      </x:c>
      <x:c r="I22" s="65" t="n">
        <x:v>0.811468413701889</x:v>
      </x:c>
      <x:c r="J22" s="56"/>
      <x:c r="K22" s="62"/>
      <x:c r="L22" s="62"/>
    </x:row>
    <x:row r="23">
      <x:c r="A23" s="50" t="str">
        <x:v>1.6</x:v>
      </x:c>
      <x:c r="B23" s="50" t="str">
        <x:v>ADAS-Cog 24 months mean difference</x:v>
      </x:c>
      <x:c r="C23" s="50" t="str">
        <x:v>MD</x:v>
      </x:c>
      <x:c r="D23" s="50" t="str">
        <x:v>Gantenerumab</x:v>
      </x:c>
      <x:c r="E23" s="59" t="n">
        <x:v>1</x:v>
      </x:c>
      <x:c r="F23" s="62" t="n">
        <x:v>-3.71</x:v>
      </x:c>
      <x:c r="G23" s="62" t="n">
        <x:v>-7.492730490162304</x:v>
      </x:c>
      <x:c r="H23" s="62" t="n">
        <x:v>0.07273049016230448</x:v>
      </x:c>
      <x:c r="I23" s="65" t="n">
        <x:v>0.05457056124297725</x:v>
      </x:c>
      <x:c r="J23" s="56"/>
      <x:c r="K23" s="62"/>
      <x:c r="L23" s="62"/>
    </x:row>
    <x:row r="24">
      <x:c r="A24" s="50" t="str">
        <x:v>2.1</x:v>
      </x:c>
      <x:c r="B24" s="50" t="str">
        <x:v>CDR-SB scale at 18 months</x:v>
      </x:c>
      <x:c r="C24" s="50" t="str">
        <x:v>SMD</x:v>
      </x:c>
      <x:c r="D24" s="50" t="str">
        <x:v>Aducanumab</x:v>
      </x:c>
      <x:c r="E24" s="59" t="n">
        <x:v>3</x:v>
      </x:c>
      <x:c r="F24" s="62" t="n">
        <x:v>-0.06684018363332928</x:v>
      </x:c>
      <x:c r="G24" s="62" t="n">
        <x:v>-0.6216917297681404</x:v>
      </x:c>
      <x:c r="H24" s="62" t="n">
        <x:v>0.4880113625014819</x:v>
      </x:c>
      <x:c r="I24" s="65" t="n">
        <x:v>0.6558776021586713</x:v>
      </x:c>
      <x:c r="J24" s="56" t="n">
        <x:v>61.52920724916822</x:v>
      </x:c>
      <x:c r="K24" s="62" t="n">
        <x:v>-0.8963858921418248</x:v>
      </x:c>
      <x:c r="L24" s="62" t="n">
        <x:v>0.7627055248751662</x:v>
      </x:c>
    </x:row>
    <x:row r="25">
      <x:c r="A25" s="50" t="str">
        <x:v>2.1</x:v>
      </x:c>
      <x:c r="B25" s="50" t="str">
        <x:v>CDR-SB scale at 18 months</x:v>
      </x:c>
      <x:c r="C25" s="50" t="str">
        <x:v>SMD</x:v>
      </x:c>
      <x:c r="D25" s="50" t="str">
        <x:v>Crenezumab</x:v>
      </x:c>
      <x:c r="E25" s="59" t="n">
        <x:v>1</x:v>
      </x:c>
      <x:c r="F25" s="62" t="n">
        <x:v>-0.8031462679187892</x:v>
      </x:c>
      <x:c r="G25" s="62" t="n">
        <x:v>-1.596837811542112</x:v>
      </x:c>
      <x:c r="H25" s="62" t="n">
        <x:v>-0.00945472429546601</x:v>
      </x:c>
      <x:c r="I25" s="65" t="n">
        <x:v>0.04733261842136615</x:v>
      </x:c>
      <x:c r="J25" s="56"/>
      <x:c r="K25" s="62"/>
      <x:c r="L25" s="62"/>
    </x:row>
    <x:row r="26">
      <x:c r="A26" s="50" t="str">
        <x:v>2.1</x:v>
      </x:c>
      <x:c r="B26" s="50" t="str">
        <x:v>CDR-SB scale at 18 months</x:v>
      </x:c>
      <x:c r="C26" s="50" t="str">
        <x:v>SMD</x:v>
      </x:c>
      <x:c r="D26" s="50" t="str">
        <x:v>Donanemab</x:v>
      </x:c>
      <x:c r="E26" s="59" t="n">
        <x:v>1</x:v>
      </x:c>
      <x:c r="F26" s="62" t="n">
        <x:v>-0.2931287586575765</x:v>
      </x:c>
      <x:c r="G26" s="62" t="n">
        <x:v>-0.4039017521127294</x:v>
      </x:c>
      <x:c r="H26" s="62" t="n">
        <x:v>-0.1823557652024235</x:v>
      </x:c>
      <x:c r="I26" s="65" t="n">
        <x:v>2.143071199746335e-7</x:v>
      </x:c>
      <x:c r="J26" s="56"/>
      <x:c r="K26" s="62"/>
      <x:c r="L26" s="62"/>
    </x:row>
    <x:row r="27">
      <x:c r="A27" s="50" t="str">
        <x:v>2.1</x:v>
      </x:c>
      <x:c r="B27" s="50" t="str">
        <x:v>CDR-SB scale at 18 months</x:v>
      </x:c>
      <x:c r="C27" s="50" t="str">
        <x:v>SMD</x:v>
      </x:c>
      <x:c r="D27" s="50" t="str">
        <x:v>Gantenerumab</x:v>
      </x:c>
      <x:c r="E27" s="59" t="n">
        <x:v>1</x:v>
      </x:c>
      <x:c r="F27" s="62" t="n">
        <x:v>0.05066915011037523</x:v>
      </x:c>
      <x:c r="G27" s="62" t="n">
        <x:v>-0.1613886898232896</x:v>
      </x:c>
      <x:c r="H27" s="62" t="n">
        <x:v>0.2627269900440401</x:v>
      </x:c>
      <x:c r="I27" s="65" t="n">
        <x:v>0.6395598757868096</x:v>
      </x:c>
      <x:c r="J27" s="56"/>
      <x:c r="K27" s="62"/>
      <x:c r="L27" s="62"/>
    </x:row>
    <x:row r="28">
      <x:c r="A28" s="50" t="str">
        <x:v>2.1</x:v>
      </x:c>
      <x:c r="B28" s="50" t="str">
        <x:v>CDR-SB scale at 18 months</x:v>
      </x:c>
      <x:c r="C28" s="50" t="str">
        <x:v>SMD</x:v>
      </x:c>
      <x:c r="D28" s="50" t="str">
        <x:v>Lecanemab</x:v>
      </x:c>
      <x:c r="E28" s="59" t="n">
        <x:v>1</x:v>
      </x:c>
      <x:c r="F28" s="62" t="n">
        <x:v>-0.1922244061698371</x:v>
      </x:c>
      <x:c r="G28" s="62" t="n">
        <x:v>-0.2865815667072061</x:v>
      </x:c>
      <x:c r="H28" s="62" t="n">
        <x:v>-0.09786724563246804</x:v>
      </x:c>
      <x:c r="I28" s="65" t="n">
        <x:v>0.00006528700803417123</x:v>
      </x:c>
      <x:c r="J28" s="56"/>
      <x:c r="K28" s="62"/>
      <x:c r="L28" s="62"/>
    </x:row>
    <x:row r="29">
      <x:c r="A29" s="50" t="str">
        <x:v>2.1</x:v>
      </x:c>
      <x:c r="B29" s="50" t="str">
        <x:v>CDR-SB scale at 18 months</x:v>
      </x:c>
      <x:c r="C29" s="50" t="str">
        <x:v>SMD</x:v>
      </x:c>
      <x:c r="D29" s="50" t="str">
        <x:v>Solanezumab</x:v>
      </x:c>
      <x:c r="E29" s="59" t="n">
        <x:v>2</x:v>
      </x:c>
      <x:c r="F29" s="62" t="n">
        <x:v>-0.07468737134774227</x:v>
      </x:c>
      <x:c r="G29" s="62" t="n">
        <x:v>-0.1414413024305402</x:v>
      </x:c>
      <x:c r="H29" s="62" t="n">
        <x:v>-0.007933440264944372</x:v>
      </x:c>
      <x:c r="I29" s="65" t="n">
        <x:v>0.02831473320187678</x:v>
      </x:c>
      <x:c r="J29" s="56" t="n">
        <x:v>0</x:v>
      </x:c>
      <x:c r="K29" s="62"/>
      <x:c r="L29" s="62"/>
    </x:row>
    <x:row r="30">
      <x:c r="A30" s="50" t="str">
        <x:v>2.2</x:v>
      </x:c>
      <x:c r="B30" s="50" t="str">
        <x:v>CDR-SB scale at 24 months</x:v>
      </x:c>
      <x:c r="C30" s="50" t="str">
        <x:v>SMD</x:v>
      </x:c>
      <x:c r="D30" s="50" t="str">
        <x:v>Crenezumab</x:v>
      </x:c>
      <x:c r="E30" s="59" t="n">
        <x:v>1</x:v>
      </x:c>
      <x:c r="F30" s="62" t="n">
        <x:v>0.07009</x:v>
      </x:c>
      <x:c r="G30" s="62" t="n">
        <x:v>-0.2271914572830818</x:v>
      </x:c>
      <x:c r="H30" s="62" t="n">
        <x:v>0.3673714572830817</x:v>
      </x:c>
      <x:c r="I30" s="65" t="n">
        <x:v>0.6440093345700291</x:v>
      </x:c>
      <x:c r="J30" s="56"/>
      <x:c r="K30" s="62"/>
      <x:c r="L30" s="62"/>
    </x:row>
    <x:row r="31">
      <x:c r="A31" s="50" t="str">
        <x:v>2.2</x:v>
      </x:c>
      <x:c r="B31" s="50" t="str">
        <x:v>CDR-SB scale at 24 months</x:v>
      </x:c>
      <x:c r="C31" s="50" t="str">
        <x:v>SMD</x:v>
      </x:c>
      <x:c r="D31" s="50" t="str">
        <x:v>Gantenerumab</x:v>
      </x:c>
      <x:c r="E31" s="59" t="n">
        <x:v>1</x:v>
      </x:c>
      <x:c r="F31" s="62" t="n">
        <x:v>-0.125093</x:v>
      </x:c>
      <x:c r="G31" s="62" t="n">
        <x:v>-0.7243813877328897</x:v>
      </x:c>
      <x:c r="H31" s="62" t="n">
        <x:v>0.4741953877328897</x:v>
      </x:c>
      <x:c r="I31" s="65" t="n">
        <x:v>0.6824553839373367</x:v>
      </x:c>
      <x:c r="J31" s="56"/>
      <x:c r="K31" s="62"/>
      <x:c r="L31" s="62"/>
    </x:row>
    <x:row r="32">
      <x:c r="A32" s="50" t="str">
        <x:v>2.3</x:v>
      </x:c>
      <x:c r="B32" s="50" t="str">
        <x:v>CDR-SB scale above 24 months</x:v>
      </x:c>
      <x:c r="C32" s="50" t="str">
        <x:v>SMD</x:v>
      </x:c>
      <x:c r="D32" s="50" t="str">
        <x:v>Gantenerumab</x:v>
      </x:c>
      <x:c r="E32" s="59" t="n">
        <x:v>2</x:v>
      </x:c>
      <x:c r="F32" s="62" t="n">
        <x:v>-0.07010296517035751</x:v>
      </x:c>
      <x:c r="G32" s="62" t="n">
        <x:v>-0.1587119765097488</x:v>
      </x:c>
      <x:c r="H32" s="62" t="n">
        <x:v>0.01850604616903379</x:v>
      </x:c>
      <x:c r="I32" s="65" t="n">
        <x:v>0.1209917431904368</x:v>
      </x:c>
      <x:c r="J32" s="56" t="n">
        <x:v>0</x:v>
      </x:c>
      <x:c r="K32" s="62"/>
      <x:c r="L32" s="62"/>
    </x:row>
    <x:row r="33">
      <x:c r="A33" s="50" t="str">
        <x:v>2.4</x:v>
      </x:c>
      <x:c r="B33" s="50" t="str">
        <x:v>CDR-SB 24 months mean difference</x:v>
      </x:c>
      <x:c r="C33" s="50" t="str">
        <x:v>MD</x:v>
      </x:c>
      <x:c r="D33" s="50" t="str">
        <x:v>Crenezumab</x:v>
      </x:c>
      <x:c r="E33" s="59" t="n">
        <x:v>1</x:v>
      </x:c>
      <x:c r="F33" s="62" t="n">
        <x:v>0.17</x:v>
      </x:c>
      <x:c r="G33" s="62" t="n">
        <x:v>-0.6531848735068227</x:v>
      </x:c>
      <x:c r="H33" s="62" t="n">
        <x:v>0.9931848735068228</x:v>
      </x:c>
      <x:c r="I33" s="65" t="n">
        <x:v>0.6856525335449679</x:v>
      </x:c>
      <x:c r="J33" s="56"/>
      <x:c r="K33" s="62"/>
      <x:c r="L33" s="62"/>
    </x:row>
    <x:row r="34">
      <x:c r="A34" s="50" t="str">
        <x:v>2.4</x:v>
      </x:c>
      <x:c r="B34" s="50" t="str">
        <x:v>CDR-SB 24 months mean difference</x:v>
      </x:c>
      <x:c r="C34" s="50" t="str">
        <x:v>MD</x:v>
      </x:c>
      <x:c r="D34" s="50" t="str">
        <x:v>Gantenerumab</x:v>
      </x:c>
      <x:c r="E34" s="59" t="n">
        <x:v>1</x:v>
      </x:c>
      <x:c r="F34" s="62" t="n">
        <x:v>-0.25</x:v>
      </x:c>
      <x:c r="G34" s="62" t="n">
        <x:v>-1.425978390724032</x:v>
      </x:c>
      <x:c r="H34" s="62" t="n">
        <x:v>0.9259783907240324</x:v>
      </x:c>
      <x:c r="I34" s="65" t="n">
        <x:v>0.6769222390213793</x:v>
      </x:c>
      <x:c r="J34" s="56"/>
      <x:c r="K34" s="62"/>
      <x:c r="L34" s="62"/>
    </x:row>
    <x:row r="35">
      <x:c r="A35" s="50" t="str">
        <x:v>3.1</x:v>
      </x:c>
      <x:c r="B35" s="50" t="str">
        <x:v>DAD total score at 18 months</x:v>
      </x:c>
      <x:c r="C35" s="50" t="str">
        <x:v>SMD</x:v>
      </x:c>
      <x:c r="D35" s="50" t="str">
        <x:v>Bapineuzumab</x:v>
      </x:c>
      <x:c r="E35" s="59" t="n">
        <x:v>4</x:v>
      </x:c>
      <x:c r="F35" s="62" t="n">
        <x:v>0.04141224471514686</x:v>
      </x:c>
      <x:c r="G35" s="62" t="n">
        <x:v>-0.1598196720713164</x:v>
      </x:c>
      <x:c r="H35" s="62" t="n">
        <x:v>0.2426441615016101</x:v>
      </x:c>
      <x:c r="I35" s="65" t="n">
        <x:v>0.5592504435881637</x:v>
      </x:c>
      <x:c r="J35" s="56" t="n">
        <x:v>47.33975760102408</x:v>
      </x:c>
      <x:c r="K35" s="62" t="n">
        <x:v>-0.3107423285837581</x:v>
      </x:c>
      <x:c r="L35" s="62" t="n">
        <x:v>0.3935668180140518</x:v>
      </x:c>
    </x:row>
    <x:row r="36">
      <x:c r="A36" s="50" t="str">
        <x:v>3.2</x:v>
      </x:c>
      <x:c r="B36" s="50" t="str">
        <x:v>ADCS-ADL score at 18 months</x:v>
      </x:c>
      <x:c r="C36" s="50" t="str">
        <x:v>SMD</x:v>
      </x:c>
      <x:c r="D36" s="50" t="str">
        <x:v>Crenezumab</x:v>
      </x:c>
      <x:c r="E36" s="59" t="n">
        <x:v>1</x:v>
      </x:c>
      <x:c r="F36" s="62" t="n">
        <x:v>0.3280886894908053</x:v>
      </x:c>
      <x:c r="G36" s="62" t="n">
        <x:v>-0.4368849247052404</x:v>
      </x:c>
      <x:c r="H36" s="62" t="n">
        <x:v>1.093062303686851</x:v>
      </x:c>
      <x:c r="I36" s="65" t="n">
        <x:v>0.4005682529512126</x:v>
      </x:c>
      <x:c r="J36" s="56"/>
      <x:c r="K36" s="62"/>
      <x:c r="L36" s="62"/>
    </x:row>
    <x:row r="37">
      <x:c r="A37" s="50" t="str">
        <x:v>3.2</x:v>
      </x:c>
      <x:c r="B37" s="50" t="str">
        <x:v>ADCS-ADL score at 18 months</x:v>
      </x:c>
      <x:c r="C37" s="50" t="str">
        <x:v>SMD</x:v>
      </x:c>
      <x:c r="D37" s="50" t="str">
        <x:v>Solanezumab</x:v>
      </x:c>
      <x:c r="E37" s="59" t="n">
        <x:v>2</x:v>
      </x:c>
      <x:c r="F37" s="62" t="n">
        <x:v>0.08998845305109139</x:v>
      </x:c>
      <x:c r="G37" s="62" t="n">
        <x:v>0.02322570134223649</x:v>
      </x:c>
      <x:c r="H37" s="62" t="n">
        <x:v>0.1567512047599463</x:v>
      </x:c>
      <x:c r="I37" s="65" t="n">
        <x:v>0.008246568120055775</x:v>
      </x:c>
      <x:c r="J37" s="56" t="n">
        <x:v>0</x:v>
      </x:c>
      <x:c r="K37" s="62"/>
      <x:c r="L37" s="62"/>
    </x:row>
    <x:row r="38">
      <x:c r="A38" s="50" t="str">
        <x:v>3.3</x:v>
      </x:c>
      <x:c r="B38" s="50" t="str">
        <x:v>ADCS-ADL score at 24 months</x:v>
      </x:c>
      <x:c r="C38" s="50" t="str">
        <x:v>SMD</x:v>
      </x:c>
      <x:c r="D38" s="50" t="str">
        <x:v>Crenezumab</x:v>
      </x:c>
      <x:c r="E38" s="59" t="n">
        <x:v>1</x:v>
      </x:c>
      <x:c r="F38" s="62" t="n">
        <x:v>-0.162711</x:v>
      </x:c>
      <x:c r="G38" s="62" t="n">
        <x:v>-0.4570368315943953</x:v>
      </x:c>
      <x:c r="H38" s="62" t="n">
        <x:v>0.1316148315943954</x:v>
      </x:c>
      <x:c r="I38" s="65" t="n">
        <x:v>0.2785780178366547</x:v>
      </x:c>
      <x:c r="J38" s="56"/>
      <x:c r="K38" s="62"/>
      <x:c r="L38" s="62"/>
    </x:row>
    <x:row r="39">
      <x:c r="A39" s="50" t="str">
        <x:v>3.3</x:v>
      </x:c>
      <x:c r="B39" s="50" t="str">
        <x:v>ADCS-ADL score at 24 months</x:v>
      </x:c>
      <x:c r="C39" s="50" t="str">
        <x:v>SMD</x:v>
      </x:c>
      <x:c r="D39" s="50" t="str">
        <x:v>Gantenerumab</x:v>
      </x:c>
      <x:c r="E39" s="59" t="n">
        <x:v>1</x:v>
      </x:c>
      <x:c r="F39" s="62" t="n">
        <x:v>0.46747</x:v>
      </x:c>
      <x:c r="G39" s="62" t="n">
        <x:v>-0.1681698397541541</x:v>
      </x:c>
      <x:c r="H39" s="62" t="n">
        <x:v>1.103109839754154</x:v>
      </x:c>
      <x:c r="I39" s="65" t="n">
        <x:v>0.1494658918971332</x:v>
      </x:c>
      <x:c r="J39" s="56"/>
      <x:c r="K39" s="62"/>
      <x:c r="L39" s="62"/>
    </x:row>
    <x:row r="40">
      <x:c r="A40" s="50" t="str">
        <x:v>3.4</x:v>
      </x:c>
      <x:c r="B40" s="50" t="str">
        <x:v>ADCS-ADL score above 24 months</x:v>
      </x:c>
      <x:c r="C40" s="50" t="str">
        <x:v>SMD</x:v>
      </x:c>
      <x:c r="D40" s="50" t="str">
        <x:v>Gantenerumab</x:v>
      </x:c>
      <x:c r="E40" s="59" t="n">
        <x:v>2</x:v>
      </x:c>
      <x:c r="F40" s="62" t="n">
        <x:v>0.06945122787161243</x:v>
      </x:c>
      <x:c r="G40" s="62" t="n">
        <x:v>-0.0188582793976029</x:v>
      </x:c>
      <x:c r="H40" s="62" t="n">
        <x:v>0.1577607351408278</x:v>
      </x:c>
      <x:c r="I40" s="65" t="n">
        <x:v>0.123214972396656</x:v>
      </x:c>
      <x:c r="J40" s="56" t="n">
        <x:v>0</x:v>
      </x:c>
      <x:c r="K40" s="62"/>
      <x:c r="L40" s="62"/>
    </x:row>
    <x:row r="41">
      <x:c r="A41" s="50" t="str">
        <x:v>3.5</x:v>
      </x:c>
      <x:c r="B41" s="50" t="str">
        <x:v>ADCS-ADL-MCI score at 18 months</x:v>
      </x:c>
      <x:c r="C41" s="50" t="str">
        <x:v>SMD</x:v>
      </x:c>
      <x:c r="D41" s="50" t="str">
        <x:v>Aducanumab</x:v>
      </x:c>
      <x:c r="E41" s="59" t="n">
        <x:v>3</x:v>
      </x:c>
      <x:c r="F41" s="62" t="n">
        <x:v>0.200659587914509</x:v>
      </x:c>
      <x:c r="G41" s="62" t="n">
        <x:v>-0.06248444140829526</x:v>
      </x:c>
      <x:c r="H41" s="62" t="n">
        <x:v>0.4638036172373133</x:v>
      </x:c>
      <x:c r="I41" s="65" t="n">
        <x:v>0.08167601032633637</x:v>
      </x:c>
      <x:c r="J41" s="56" t="n">
        <x:v>27.271818113711575</x:v>
      </x:c>
      <x:c r="K41" s="62" t="n">
        <x:v>-0.1992475228142168</x:v>
      </x:c>
      <x:c r="L41" s="62" t="n">
        <x:v>0.6005666986432349</x:v>
      </x:c>
    </x:row>
    <x:row r="42">
      <x:c r="A42" s="50" t="str">
        <x:v>3.5</x:v>
      </x:c>
      <x:c r="B42" s="50" t="str">
        <x:v>ADCS-ADL-MCI score at 18 months</x:v>
      </x:c>
      <x:c r="C42" s="50" t="str">
        <x:v>SMD</x:v>
      </x:c>
      <x:c r="D42" s="50" t="str">
        <x:v>Lecanemab</x:v>
      </x:c>
      <x:c r="E42" s="59" t="n">
        <x:v>1</x:v>
      </x:c>
      <x:c r="F42" s="62" t="n">
        <x:v>0.246614</x:v>
      </x:c>
      <x:c r="G42" s="62" t="n">
        <x:v>0.1475868196811138</x:v>
      </x:c>
      <x:c r="H42" s="62" t="n">
        <x:v>0.3456411803188862</x:v>
      </x:c>
      <x:c r="I42" s="65" t="n">
        <x:v>0.000001055336161928892</x:v>
      </x:c>
      <x:c r="J42" s="56"/>
      <x:c r="K42" s="62"/>
      <x:c r="L42" s="62"/>
    </x:row>
    <x:row r="43">
      <x:c r="A43" s="50" t="str">
        <x:v>3.6</x:v>
      </x:c>
      <x:c r="B43" s="50" t="str">
        <x:v>ADCS-iADL score at 18 months</x:v>
      </x:c>
      <x:c r="C43" s="50" t="str">
        <x:v>SMD</x:v>
      </x:c>
      <x:c r="D43" s="50" t="str">
        <x:v>Donanemab</x:v>
      </x:c>
      <x:c r="E43" s="59" t="n">
        <x:v>1</x:v>
      </x:c>
      <x:c r="F43" s="62" t="n">
        <x:v>0.2086615152924401</x:v>
      </x:c>
      <x:c r="G43" s="62" t="n">
        <x:v>0.09740270301361327</x:v>
      </x:c>
      <x:c r="H43" s="62" t="n">
        <x:v>0.3199203275712669</x:v>
      </x:c>
      <x:c r="I43" s="65" t="n">
        <x:v>0.0002370725624849359</x:v>
      </x:c>
      <x:c r="J43" s="56"/>
      <x:c r="K43" s="62"/>
      <x:c r="L43" s="62"/>
    </x:row>
    <x:row r="44">
      <x:c r="A44" s="50" t="str">
        <x:v>3.7</x:v>
      </x:c>
      <x:c r="B44" s="50" t="str">
        <x:v>ADCS-ADL 24 months mean difference</x:v>
      </x:c>
      <x:c r="C44" s="50" t="str">
        <x:v>MD</x:v>
      </x:c>
      <x:c r="D44" s="50" t="str">
        <x:v>Crenezumab</x:v>
      </x:c>
      <x:c r="E44" s="59" t="n">
        <x:v>1</x:v>
      </x:c>
      <x:c r="F44" s="62" t="n">
        <x:v>-1.88</x:v>
      </x:c>
      <x:c r="G44" s="62" t="n">
        <x:v>-5.192339133872691</x:v>
      </x:c>
      <x:c r="H44" s="62" t="n">
        <x:v>1.432339133872691</x:v>
      </x:c>
      <x:c r="I44" s="65" t="n">
        <x:v>0.2659550155497046</x:v>
      </x:c>
      <x:c r="J44" s="56"/>
      <x:c r="K44" s="62"/>
      <x:c r="L44" s="62"/>
    </x:row>
    <x:row r="45">
      <x:c r="A45" s="50" t="str">
        <x:v>3.7</x:v>
      </x:c>
      <x:c r="B45" s="50" t="str">
        <x:v>ADCS-ADL 24 months mean difference</x:v>
      </x:c>
      <x:c r="C45" s="50" t="str">
        <x:v>MD</x:v>
      </x:c>
      <x:c r="D45" s="50" t="str">
        <x:v>Gantenerumab</x:v>
      </x:c>
      <x:c r="E45" s="59" t="n">
        <x:v>1</x:v>
      </x:c>
      <x:c r="F45" s="62" t="n">
        <x:v>3.84</x:v>
      </x:c>
      <x:c r="G45" s="62" t="n">
        <x:v>-1.216707080113341</x:v>
      </x:c>
      <x:c r="H45" s="62" t="n">
        <x:v>8.896707080113341</x:v>
      </x:c>
      <x:c r="I45" s="65" t="n">
        <x:v>0.136652792031436</x:v>
      </x:c>
      <x:c r="J45" s="56"/>
      <x:c r="K45" s="62"/>
      <x:c r="L45" s="62"/>
    </x:row>
    <x:row r="46">
      <x:c r="A46" s="50" t="str">
        <x:v>3.8</x:v>
      </x:c>
      <x:c r="B46" s="50" t="str">
        <x:v>ADCS-ADL-MCI 18 months mean difference</x:v>
      </x:c>
      <x:c r="C46" s="50" t="str">
        <x:v>MD</x:v>
      </x:c>
      <x:c r="D46" s="50" t="str">
        <x:v>Aducanumab</x:v>
      </x:c>
      <x:c r="E46" s="59" t="n">
        <x:v>3</x:v>
      </x:c>
      <x:c r="F46" s="62" t="n">
        <x:v>1.738620297163857</x:v>
      </x:c>
      <x:c r="G46" s="62" t="n">
        <x:v>0.597945843332037</x:v>
      </x:c>
      <x:c r="H46" s="62" t="n">
        <x:v>2.879294750995678</x:v>
      </x:c>
      <x:c r="I46" s="65" t="n">
        <x:v>0.02247026910177821</x:v>
      </x:c>
      <x:c r="J46" s="56" t="n">
        <x:v>0</x:v>
      </x:c>
      <x:c r="K46" s="62" t="n">
        <x:v>0.597945843332037</x:v>
      </x:c>
      <x:c r="L46" s="62" t="n">
        <x:v>2.879294750995678</x:v>
      </x:c>
    </x:row>
    <x:row r="47">
      <x:c r="A47" s="50" t="str">
        <x:v>3.8</x:v>
      </x:c>
      <x:c r="B47" s="50" t="str">
        <x:v>ADCS-ADL-MCI 18 months mean difference</x:v>
      </x:c>
      <x:c r="C47" s="50" t="str">
        <x:v>MD</x:v>
      </x:c>
      <x:c r="D47" s="50" t="str">
        <x:v>Lecanemab</x:v>
      </x:c>
      <x:c r="E47" s="59" t="n">
        <x:v>1</x:v>
      </x:c>
      <x:c r="F47" s="62" t="n">
        <x:v>2</x:v>
      </x:c>
      <x:c r="G47" s="62" t="n">
        <x:v>1.196414766338578</x:v>
      </x:c>
      <x:c r="H47" s="62" t="n">
        <x:v>2.803585233661422</x:v>
      </x:c>
      <x:c r="I47" s="65" t="n">
        <x:v>0.000001071404313668343</x:v>
      </x:c>
      <x:c r="J47" s="56"/>
      <x:c r="K47" s="62"/>
      <x:c r="L47" s="62"/>
    </x:row>
    <x:row r="48">
      <x:c r="A48" s="50" t="str">
        <x:v>4.1</x:v>
      </x:c>
      <x:c r="B48" s="50" t="str">
        <x:v>Any ARIA at 18 months</x:v>
      </x:c>
      <x:c r="C48" s="50" t="str">
        <x:v>RR</x:v>
      </x:c>
      <x:c r="D48" s="50" t="str">
        <x:v>Donanemab</x:v>
      </x:c>
      <x:c r="E48" s="59" t="n">
        <x:v>1</x:v>
      </x:c>
      <x:c r="F48" s="62" t="n">
        <x:v>2.474848949409324</x:v>
      </x:c>
      <x:c r="G48" s="62" t="n">
        <x:v>2.064395457621312</x:v>
      </x:c>
      <x:c r="H48" s="62" t="n">
        <x:v>2.966910869611093</x:v>
      </x:c>
      <x:c r="I48" s="65" t="n">
        <x:v>1.193695540901563e-22</x:v>
      </x:c>
      <x:c r="J48" s="56"/>
      <x:c r="K48" s="62"/>
      <x:c r="L48" s="62"/>
    </x:row>
    <x:row r="49">
      <x:c r="A49" s="50" t="str">
        <x:v>4.1</x:v>
      </x:c>
      <x:c r="B49" s="50" t="str">
        <x:v>Any ARIA at 18 months</x:v>
      </x:c>
      <x:c r="C49" s="50" t="str">
        <x:v>RR</x:v>
      </x:c>
      <x:c r="D49" s="50" t="str">
        <x:v>Lecanemab</x:v>
      </x:c>
      <x:c r="E49" s="59" t="n">
        <x:v>1</x:v>
      </x:c>
      <x:c r="F49" s="62" t="n">
        <x:v>2.268059740600026</x:v>
      </x:c>
      <x:c r="G49" s="62" t="n">
        <x:v>1.788092097826977</x:v>
      </x:c>
      <x:c r="H49" s="62" t="n">
        <x:v>2.876862435207978</x:v>
      </x:c>
      <x:c r="I49" s="65" t="n">
        <x:v>1.475109929929371e-11</x:v>
      </x:c>
      <x:c r="J49" s="56"/>
      <x:c r="K49" s="62"/>
      <x:c r="L49" s="62"/>
    </x:row>
    <x:row r="50">
      <x:c r="A50" s="50" t="str">
        <x:v>4.1</x:v>
      </x:c>
      <x:c r="B50" s="50" t="str">
        <x:v>Symptomatic ARIA H at 18 months</x:v>
      </x:c>
      <x:c r="C50" s="50" t="str">
        <x:v>RR</x:v>
      </x:c>
      <x:c r="D50" s="50" t="str">
        <x:v>Lecanemab</x:v>
      </x:c>
      <x:c r="E50" s="59" t="n">
        <x:v>1</x:v>
      </x:c>
      <x:c r="F50" s="62" t="n">
        <x:v>2.996659242761694</x:v>
      </x:c>
      <x:c r="G50" s="62" t="n">
        <x:v>0.6064524420319731</x:v>
      </x:c>
      <x:c r="H50" s="62" t="n">
        <x:v>14.807371518104377</x:v>
      </x:c>
      <x:c r="I50" s="65" t="n">
        <x:v>0.1781711995829671</x:v>
      </x:c>
      <x:c r="J50" s="56"/>
      <x:c r="K50" s="62"/>
      <x:c r="L50" s="62"/>
    </x:row>
    <x:row r="51">
      <x:c r="A51" s="50" t="str">
        <x:v>4.2</x:v>
      </x:c>
      <x:c r="B51" s="50" t="str">
        <x:v>Any ARIA E at 18 months</x:v>
      </x:c>
      <x:c r="C51" s="50" t="str">
        <x:v>RR</x:v>
      </x:c>
      <x:c r="D51" s="50" t="str">
        <x:v>Aducanumab</x:v>
      </x:c>
      <x:c r="E51" s="59" t="n">
        <x:v>2</x:v>
      </x:c>
      <x:c r="F51" s="62" t="n">
        <x:v>13.045440137670312</x:v>
      </x:c>
      <x:c r="G51" s="62" t="n">
        <x:v>9.030597619409843</x:v>
      </x:c>
      <x:c r="H51" s="62" t="n">
        <x:v>18.845209980318142</x:v>
      </x:c>
      <x:c r="I51" s="65" t="n">
        <x:v>1.228202396563463e-42</x:v>
      </x:c>
      <x:c r="J51" s="56" t="n">
        <x:v>0</x:v>
      </x:c>
      <x:c r="K51" s="62"/>
      <x:c r="L51" s="62"/>
    </x:row>
    <x:row r="52">
      <x:c r="A52" s="50" t="str">
        <x:v>4.2</x:v>
      </x:c>
      <x:c r="B52" s="50" t="str">
        <x:v>Any ARIA E at 18 months</x:v>
      </x:c>
      <x:c r="C52" s="50" t="str">
        <x:v>RR</x:v>
      </x:c>
      <x:c r="D52" s="50" t="str">
        <x:v>Bapineuzumab</x:v>
      </x:c>
      <x:c r="E52" s="59" t="n">
        <x:v>4</x:v>
      </x:c>
      <x:c r="F52" s="62" t="n">
        <x:v>16.56645457632206</x:v>
      </x:c>
      <x:c r="G52" s="62" t="n">
        <x:v>2.925579980483702</x:v>
      </x:c>
      <x:c r="H52" s="62" t="n">
        <x:v>93.80957589953361</x:v>
      </x:c>
      <x:c r="I52" s="65" t="n">
        <x:v>0.01417052932104443</x:v>
      </x:c>
      <x:c r="J52" s="56" t="n">
        <x:v>55.13389681795046</x:v>
      </x:c>
      <x:c r="K52" s="62" t="n">
        <x:v>0.7817743357805285</x:v>
      </x:c>
      <x:c r="L52" s="62" t="n">
        <x:v>351.05708216339934</x:v>
      </x:c>
    </x:row>
    <x:row r="53">
      <x:c r="A53" s="50" t="str">
        <x:v>4.2</x:v>
      </x:c>
      <x:c r="B53" s="50" t="str">
        <x:v>Any ARIA E at 18 months</x:v>
      </x:c>
      <x:c r="C53" s="50" t="str">
        <x:v>RR</x:v>
      </x:c>
      <x:c r="D53" s="50" t="str">
        <x:v>Crenezumab</x:v>
      </x:c>
      <x:c r="E53" s="59" t="n">
        <x:v>1</x:v>
      </x:c>
      <x:c r="F53" s="62" t="n">
        <x:v>2.924812030075188</x:v>
      </x:c>
      <x:c r="G53" s="62" t="n">
        <x:v>0.1195130913110486</x:v>
      </x:c>
      <x:c r="H53" s="62" t="n">
        <x:v>71.57814526785407</x:v>
      </x:c>
      <x:c r="I53" s="65" t="n">
        <x:v>0.510638943374335</x:v>
      </x:c>
      <x:c r="J53" s="56"/>
      <x:c r="K53" s="62"/>
      <x:c r="L53" s="62"/>
    </x:row>
    <x:row r="54">
      <x:c r="A54" s="50" t="str">
        <x:v>4.2</x:v>
      </x:c>
      <x:c r="B54" s="50" t="str">
        <x:v>Any ARIA E at 18 months</x:v>
      </x:c>
      <x:c r="C54" s="50" t="str">
        <x:v>RR</x:v>
      </x:c>
      <x:c r="D54" s="50" t="str">
        <x:v>Donanemab</x:v>
      </x:c>
      <x:c r="E54" s="59" t="n">
        <x:v>1</x:v>
      </x:c>
      <x:c r="F54" s="62" t="n">
        <x:v>11.66927185098346</x:v>
      </x:c>
      <x:c r="G54" s="62" t="n">
        <x:v>7.275124533987975</x:v>
      </x:c>
      <x:c r="H54" s="62" t="n">
        <x:v>18.717467295025138</x:v>
      </x:c>
      <x:c r="I54" s="65" t="n">
        <x:v>2.159911417714899e-24</x:v>
      </x:c>
      <x:c r="J54" s="56"/>
      <x:c r="K54" s="62"/>
      <x:c r="L54" s="62"/>
    </x:row>
    <x:row r="55">
      <x:c r="A55" s="50" t="str">
        <x:v>4.2</x:v>
      </x:c>
      <x:c r="B55" s="50" t="str">
        <x:v>Any ARIA E at 18 months</x:v>
      </x:c>
      <x:c r="C55" s="50" t="str">
        <x:v>RR</x:v>
      </x:c>
      <x:c r="D55" s="50" t="str">
        <x:v>Lecanemab</x:v>
      </x:c>
      <x:c r="E55" s="59" t="n">
        <x:v>1</x:v>
      </x:c>
      <x:c r="F55" s="62" t="n">
        <x:v>7.524944320712696</x:v>
      </x:c>
      <x:c r="G55" s="62" t="n">
        <x:v>4.426580621513425</x:v>
      </x:c>
      <x:c r="H55" s="62" t="n">
        <x:v>12.791992707560027</x:v>
      </x:c>
      <x:c r="I55" s="65" t="n">
        <x:v>8.980097305886972e-14</x:v>
      </x:c>
      <x:c r="J55" s="56"/>
      <x:c r="K55" s="62"/>
      <x:c r="L55" s="62"/>
    </x:row>
    <x:row r="56">
      <x:c r="A56" s="50" t="str">
        <x:v>4.2</x:v>
      </x:c>
      <x:c r="B56" s="50" t="str">
        <x:v>Any ARIA E at 18 months</x:v>
      </x:c>
      <x:c r="C56" s="50" t="str">
        <x:v>RR</x:v>
      </x:c>
      <x:c r="D56" s="50" t="str">
        <x:v>Solanezumab</x:v>
      </x:c>
      <x:c r="E56" s="59" t="n">
        <x:v>2</x:v>
      </x:c>
      <x:c r="F56" s="62" t="n">
        <x:v>2.007458629606298</x:v>
      </x:c>
      <x:c r="G56" s="62" t="n">
        <x:v>0.6817031360884913</x:v>
      </x:c>
      <x:c r="H56" s="62" t="n">
        <x:v>5.911503022714099</x:v>
      </x:c>
      <x:c r="I56" s="65" t="n">
        <x:v>0.2060039301622172</x:v>
      </x:c>
      <x:c r="J56" s="56" t="n">
        <x:v>0</x:v>
      </x:c>
      <x:c r="K56" s="62"/>
      <x:c r="L56" s="62"/>
    </x:row>
    <x:row r="57">
      <x:c r="A57" s="50" t="str">
        <x:v>4.3</x:v>
      </x:c>
      <x:c r="B57" s="50" t="str">
        <x:v>Any ARIA E at 24 months</x:v>
      </x:c>
      <x:c r="C57" s="50" t="str">
        <x:v>RR</x:v>
      </x:c>
      <x:c r="D57" s="50" t="str">
        <x:v>Aducanumab</x:v>
      </x:c>
      <x:c r="E57" s="59" t="n">
        <x:v>1</x:v>
      </x:c>
      <x:c r="F57" s="62" t="n">
        <x:v>7.599118942731277</x:v>
      </x:c>
      <x:c r="G57" s="62" t="n">
        <x:v>0.435288259576443</x:v>
      </x:c>
      <x:c r="H57" s="62" t="n">
        <x:v>132.66291344950963</x:v>
      </x:c>
      <x:c r="I57" s="65" t="n">
        <x:v>0.1645525232774595</x:v>
      </x:c>
      <x:c r="J57" s="56"/>
      <x:c r="K57" s="62"/>
      <x:c r="L57" s="62"/>
    </x:row>
    <x:row r="58">
      <x:c r="A58" s="50" t="str">
        <x:v>4.3</x:v>
      </x:c>
      <x:c r="B58" s="50" t="str">
        <x:v>Any ARIA E at 24 months</x:v>
      </x:c>
      <x:c r="C58" s="50" t="str">
        <x:v>RR</x:v>
      </x:c>
      <x:c r="D58" s="50" t="str">
        <x:v>Crenezumab</x:v>
      </x:c>
      <x:c r="E58" s="59" t="n">
        <x:v>1</x:v>
      </x:c>
      <x:c r="F58" s="62" t="n">
        <x:v>0.9949874686716792</x:v>
      </x:c>
      <x:c r="G58" s="62" t="n">
        <x:v>0.06245253801815225</x:v>
      </x:c>
      <x:c r="H58" s="62" t="n">
        <x:v>15.852038911948236</x:v>
      </x:c>
      <x:c r="I58" s="65" t="n">
        <x:v>0.9971613080182256</x:v>
      </x:c>
      <x:c r="J58" s="56"/>
      <x:c r="K58" s="62"/>
      <x:c r="L58" s="62"/>
    </x:row>
    <x:row r="59">
      <x:c r="A59" s="50" t="str">
        <x:v>4.3</x:v>
      </x:c>
      <x:c r="B59" s="50" t="str">
        <x:v>Any ARIA E at 24 months</x:v>
      </x:c>
      <x:c r="C59" s="50" t="str">
        <x:v>RR</x:v>
      </x:c>
      <x:c r="D59" s="50" t="str">
        <x:v>Gantenerumab</x:v>
      </x:c>
      <x:c r="E59" s="59" t="n">
        <x:v>2</x:v>
      </x:c>
      <x:c r="F59" s="62" t="n">
        <x:v>9.777363730769803</x:v>
      </x:c>
      <x:c r="G59" s="62" t="n">
        <x:v>3.427602081862427</x:v>
      </x:c>
      <x:c r="H59" s="62" t="n">
        <x:v>27.890297426773984</x:v>
      </x:c>
      <x:c r="I59" s="65" t="n">
        <x:v>0.00002014078171150575</x:v>
      </x:c>
      <x:c r="J59" s="56" t="n">
        <x:v>22.558747031633786</x:v>
      </x:c>
      <x:c r="K59" s="62"/>
      <x:c r="L59" s="62"/>
    </x:row>
    <x:row r="60">
      <x:c r="A60" s="50" t="str">
        <x:v>4.4</x:v>
      </x:c>
      <x:c r="B60" s="50" t="str">
        <x:v>Any ARIA E above 24 months</x:v>
      </x:c>
      <x:c r="C60" s="50" t="str">
        <x:v>RR</x:v>
      </x:c>
      <x:c r="D60" s="50" t="str">
        <x:v>Gantenerumab</x:v>
      </x:c>
      <x:c r="E60" s="59" t="n">
        <x:v>2</x:v>
      </x:c>
      <x:c r="F60" s="62" t="n">
        <x:v>9.349943398952874</x:v>
      </x:c>
      <x:c r="G60" s="62" t="n">
        <x:v>4.51505569501341</x:v>
      </x:c>
      <x:c r="H60" s="62" t="n">
        <x:v>19.362206685550703</x:v>
      </x:c>
      <x:c r="I60" s="65" t="n">
        <x:v>1.75948832335529e-9</x:v>
      </x:c>
      <x:c r="J60" s="56" t="n">
        <x:v>66.3692954998454</x:v>
      </x:c>
      <x:c r="K60" s="62"/>
      <x:c r="L60" s="62"/>
    </x:row>
    <x:row r="61">
      <x:c r="A61" s="50" t="str">
        <x:v>4.5</x:v>
      </x:c>
      <x:c r="B61" s="50" t="str">
        <x:v>Symptomatic ARIA E at 18 months</x:v>
      </x:c>
      <x:c r="C61" s="50" t="str">
        <x:v>RR</x:v>
      </x:c>
      <x:c r="D61" s="50" t="str">
        <x:v>Donanemab</x:v>
      </x:c>
      <x:c r="E61" s="59" t="n">
        <x:v>1</x:v>
      </x:c>
      <x:c r="F61" s="62" t="n">
        <x:v>53.28018757327078</x:v>
      </x:c>
      <x:c r="G61" s="62" t="n">
        <x:v>7.382367491768024</x:v>
      </x:c>
      <x:c r="H61" s="62" t="n">
        <x:v>384.53495995808925</x:v>
      </x:c>
      <x:c r="I61" s="65" t="n">
        <x:v>0.00008068265430543288</x:v>
      </x:c>
      <x:c r="J61" s="56"/>
      <x:c r="K61" s="62"/>
      <x:c r="L61" s="62"/>
    </x:row>
    <x:row r="62">
      <x:c r="A62" s="50" t="str">
        <x:v>4.5</x:v>
      </x:c>
      <x:c r="B62" s="50" t="str">
        <x:v>Symptomatic ARIA E at 18 months</x:v>
      </x:c>
      <x:c r="C62" s="50" t="str">
        <x:v>RR</x:v>
      </x:c>
      <x:c r="D62" s="50" t="str">
        <x:v>Lecanemab</x:v>
      </x:c>
      <x:c r="E62" s="59" t="n">
        <x:v>1</x:v>
      </x:c>
      <x:c r="F62" s="62" t="n">
        <x:v>50.94327030033374</x:v>
      </x:c>
      <x:c r="G62" s="62" t="n">
        <x:v>3.106169607741096</x:v>
      </x:c>
      <x:c r="H62" s="62" t="n">
        <x:v>835.5038895574636</x:v>
      </x:c>
      <x:c r="I62" s="65" t="n">
        <x:v>0.005885700911135212</x:v>
      </x:c>
      <x:c r="J62" s="56"/>
      <x:c r="K62" s="62"/>
      <x:c r="L62" s="62"/>
    </x:row>
    <x:row r="63">
      <x:c r="A63" s="50" t="str">
        <x:v>4.6</x:v>
      </x:c>
      <x:c r="B63" s="50" t="str">
        <x:v>Symptomatic ARIA E above 24 months</x:v>
      </x:c>
      <x:c r="C63" s="50" t="str">
        <x:v>RR</x:v>
      </x:c>
      <x:c r="D63" s="50" t="str">
        <x:v>Gantenerumab</x:v>
      </x:c>
      <x:c r="E63" s="59" t="n">
        <x:v>2</x:v>
      </x:c>
      <x:c r="F63" s="62" t="n">
        <x:v>15.546661816944196</x:v>
      </x:c>
      <x:c r="G63" s="62" t="n">
        <x:v>4.331361582881384</x:v>
      </x:c>
      <x:c r="H63" s="62" t="n">
        <x:v>55.80201260630923</x:v>
      </x:c>
      <x:c r="I63" s="65" t="n">
        <x:v>0.00002574921926643576</x:v>
      </x:c>
      <x:c r="J63" s="56" t="n">
        <x:v>0</x:v>
      </x:c>
      <x:c r="K63" s="62"/>
      <x:c r="L63" s="62"/>
    </x:row>
    <x:row r="64">
      <x:c r="A64" s="50" t="str">
        <x:v>4.7</x:v>
      </x:c>
      <x:c r="B64" s="50" t="str">
        <x:v>Any ARIA H at 18 months</x:v>
      </x:c>
      <x:c r="C64" s="50" t="str">
        <x:v>RR</x:v>
      </x:c>
      <x:c r="D64" s="50" t="str">
        <x:v>Crenezumab</x:v>
      </x:c>
      <x:c r="E64" s="59" t="n">
        <x:v>1</x:v>
      </x:c>
      <x:c r="F64" s="62" t="n">
        <x:v>0.8477168450950404</x:v>
      </x:c>
      <x:c r="G64" s="62" t="n">
        <x:v>0.4733550733408244</x:v>
      </x:c>
      <x:c r="H64" s="62" t="n">
        <x:v>1.518149672266143</x:v>
      </x:c>
      <x:c r="I64" s="65" t="n">
        <x:v>0.5784206003594518</x:v>
      </x:c>
      <x:c r="J64" s="56"/>
      <x:c r="K64" s="62"/>
      <x:c r="L64" s="62"/>
    </x:row>
    <x:row r="65">
      <x:c r="A65" s="50" t="str">
        <x:v>4.7</x:v>
      </x:c>
      <x:c r="B65" s="50" t="str">
        <x:v>Any ARIA H at 18 months</x:v>
      </x:c>
      <x:c r="C65" s="50" t="str">
        <x:v>RR</x:v>
      </x:c>
      <x:c r="D65" s="50" t="str">
        <x:v>Donanemab</x:v>
      </x:c>
      <x:c r="E65" s="59" t="n">
        <x:v>1</x:v>
      </x:c>
      <x:c r="F65" s="62" t="n">
        <x:v>2.307545292442886</x:v>
      </x:c>
      <x:c r="G65" s="62" t="n">
        <x:v>1.900235123508733</x:v>
      </x:c>
      <x:c r="H65" s="62" t="n">
        <x:v>2.802161275096993</x:v>
      </x:c>
      <x:c r="I65" s="65" t="n">
        <x:v>3.203334186864086e-17</x:v>
      </x:c>
      <x:c r="J65" s="56"/>
      <x:c r="K65" s="62"/>
      <x:c r="L65" s="62"/>
    </x:row>
    <x:row r="66">
      <x:c r="A66" s="50" t="str">
        <x:v>4.7</x:v>
      </x:c>
      <x:c r="B66" s="50" t="str">
        <x:v>Any ARIA H at 18 months</x:v>
      </x:c>
      <x:c r="C66" s="50" t="str">
        <x:v>RR</x:v>
      </x:c>
      <x:c r="D66" s="50" t="str">
        <x:v>Lecanemab</x:v>
      </x:c>
      <x:c r="E66" s="59" t="n">
        <x:v>1</x:v>
      </x:c>
      <x:c r="F66" s="62" t="n">
        <x:v>1.911449311226594</x:v>
      </x:c>
      <x:c r="G66" s="62" t="n">
        <x:v>1.48523778358167</x:v>
      </x:c>
      <x:c r="H66" s="62" t="n">
        <x:v>2.459968706544634</x:v>
      </x:c>
      <x:c r="I66" s="65" t="n">
        <x:v>4.826047370260261e-7</x:v>
      </x:c>
      <x:c r="J66" s="56"/>
      <x:c r="K66" s="62"/>
      <x:c r="L66" s="62"/>
    </x:row>
    <x:row r="67">
      <x:c r="A67" s="50" t="str">
        <x:v>4.8</x:v>
      </x:c>
      <x:c r="B67" s="50" t="str">
        <x:v>Any ARIA H at 24 months</x:v>
      </x:c>
      <x:c r="C67" s="50" t="str">
        <x:v>RR</x:v>
      </x:c>
      <x:c r="D67" s="50" t="str">
        <x:v>Aducanumab</x:v>
      </x:c>
      <x:c r="E67" s="59" t="n">
        <x:v>1</x:v>
      </x:c>
      <x:c r="F67" s="62" t="n">
        <x:v>2.533039647577092</x:v>
      </x:c>
      <x:c r="G67" s="62" t="n">
        <x:v>0.1219456991199386</x:v>
      </x:c>
      <x:c r="H67" s="62" t="n">
        <x:v>52.61595859880877</x:v>
      </x:c>
      <x:c r="I67" s="65" t="n">
        <x:v>0.5481833162508196</x:v>
      </x:c>
      <x:c r="J67" s="56"/>
      <x:c r="K67" s="62"/>
      <x:c r="L67" s="62"/>
    </x:row>
    <x:row r="68">
      <x:c r="A68" s="50" t="str">
        <x:v>4.8</x:v>
      </x:c>
      <x:c r="B68" s="50" t="str">
        <x:v>Any ARIA H at 24 months</x:v>
      </x:c>
      <x:c r="C68" s="50" t="str">
        <x:v>RR</x:v>
      </x:c>
      <x:c r="D68" s="50" t="str">
        <x:v>Crenezumab</x:v>
      </x:c>
      <x:c r="E68" s="59" t="n">
        <x:v>1</x:v>
      </x:c>
      <x:c r="F68" s="62" t="n">
        <x:v>1.251758428328887</x:v>
      </x:c>
      <x:c r="G68" s="62" t="n">
        <x:v>0.7976133438745941</x:v>
      </x:c>
      <x:c r="H68" s="62" t="n">
        <x:v>1.964484640240375</x:v>
      </x:c>
      <x:c r="I68" s="65" t="n">
        <x:v>0.3287959651146615</x:v>
      </x:c>
      <x:c r="J68" s="56"/>
      <x:c r="K68" s="62"/>
      <x:c r="L68" s="62"/>
    </x:row>
    <x:row r="69">
      <x:c r="A69" s="50" t="str">
        <x:v>4.8</x:v>
      </x:c>
      <x:c r="B69" s="50" t="str">
        <x:v>Any ARIA H at 24 months</x:v>
      </x:c>
      <x:c r="C69" s="50" t="str">
        <x:v>RR</x:v>
      </x:c>
      <x:c r="D69" s="50" t="str">
        <x:v>Gantenerumab</x:v>
      </x:c>
      <x:c r="E69" s="59" t="n">
        <x:v>2</x:v>
      </x:c>
      <x:c r="F69" s="62" t="n">
        <x:v>1.277548679197549</x:v>
      </x:c>
      <x:c r="G69" s="62" t="n">
        <x:v>0.8784500876611419</x:v>
      </x:c>
      <x:c r="H69" s="62" t="n">
        <x:v>1.857966264269972</x:v>
      </x:c>
      <x:c r="I69" s="65" t="n">
        <x:v>0.1999172862096003</x:v>
      </x:c>
      <x:c r="J69" s="56" t="n">
        <x:v>0</x:v>
      </x:c>
      <x:c r="K69" s="62"/>
      <x:c r="L69" s="62"/>
    </x:row>
    <x:row r="70">
      <x:c r="A70" s="50" t="str">
        <x:v>4.9</x:v>
      </x:c>
      <x:c r="B70" s="50" t="str">
        <x:v>Any ARIA H above 24 months</x:v>
      </x:c>
      <x:c r="C70" s="50" t="str">
        <x:v>RR</x:v>
      </x:c>
      <x:c r="D70" s="50" t="str">
        <x:v>Gantenerumab</x:v>
      </x:c>
      <x:c r="E70" s="59" t="n">
        <x:v>2</x:v>
      </x:c>
      <x:c r="F70" s="62" t="n">
        <x:v>1.86453837103413</x:v>
      </x:c>
      <x:c r="G70" s="62" t="n">
        <x:v>1.518623298927227</x:v>
      </x:c>
      <x:c r="H70" s="62" t="n">
        <x:v>2.289246674612755</x:v>
      </x:c>
      <x:c r="I70" s="65" t="n">
        <x:v>2.674353802685853e-9</x:v>
      </x:c>
      <x:c r="J70" s="56" t="n">
        <x:v>0</x:v>
      </x:c>
      <x:c r="K70" s="62"/>
      <x:c r="L70" s="62"/>
    </x:row>
    <x:row r="71">
      <x:c r="A71" s="50" t="str">
        <x:v>5.1</x:v>
      </x:c>
      <x:c r="B71" s="50" t="str">
        <x:v>SAE at 18 months</x:v>
      </x:c>
      <x:c r="C71" s="50" t="str">
        <x:v>RR</x:v>
      </x:c>
      <x:c r="D71" s="50" t="str">
        <x:v>Aducanumab</x:v>
      </x:c>
      <x:c r="E71" s="59" t="n">
        <x:v>2</x:v>
      </x:c>
      <x:c r="F71" s="62" t="n">
        <x:v>0.957096479158831</x:v>
      </x:c>
      <x:c r="G71" s="62" t="n">
        <x:v>0.7749485528033471</x:v>
      </x:c>
      <x:c r="H71" s="62" t="n">
        <x:v>1.182057398655064</x:v>
      </x:c>
      <x:c r="I71" s="65" t="n">
        <x:v>0.6839183732079315</x:v>
      </x:c>
      <x:c r="J71" s="56" t="n">
        <x:v>0</x:v>
      </x:c>
      <x:c r="K71" s="62"/>
      <x:c r="L71" s="62"/>
    </x:row>
    <x:row r="72">
      <x:c r="A72" s="50" t="str">
        <x:v>5.1</x:v>
      </x:c>
      <x:c r="B72" s="50" t="str">
        <x:v>SAE at 18 months</x:v>
      </x:c>
      <x:c r="C72" s="50" t="str">
        <x:v>RR</x:v>
      </x:c>
      <x:c r="D72" s="50" t="str">
        <x:v>Bapineuzumab</x:v>
      </x:c>
      <x:c r="E72" s="59" t="n">
        <x:v>2</x:v>
      </x:c>
      <x:c r="F72" s="62" t="n">
        <x:v>1.228338677139709</x:v>
      </x:c>
      <x:c r="G72" s="62" t="n">
        <x:v>1.036359147092133</x:v>
      </x:c>
      <x:c r="H72" s="62" t="n">
        <x:v>1.45588130330189</x:v>
      </x:c>
      <x:c r="I72" s="65" t="n">
        <x:v>0.01769980546673198</x:v>
      </x:c>
      <x:c r="J72" s="56" t="n">
        <x:v>0</x:v>
      </x:c>
      <x:c r="K72" s="62"/>
      <x:c r="L72" s="62"/>
    </x:row>
    <x:row r="73">
      <x:c r="A73" s="50" t="str">
        <x:v>5.1</x:v>
      </x:c>
      <x:c r="B73" s="50" t="str">
        <x:v>SAE at 18 months</x:v>
      </x:c>
      <x:c r="C73" s="50" t="str">
        <x:v>RR</x:v>
      </x:c>
      <x:c r="D73" s="50" t="str">
        <x:v>Crenezumab</x:v>
      </x:c>
      <x:c r="E73" s="59" t="n">
        <x:v>1</x:v>
      </x:c>
      <x:c r="F73" s="62" t="n">
        <x:v>0.7740452616690241</x:v>
      </x:c>
      <x:c r="G73" s="62" t="n">
        <x:v>0.5013086222133811</x:v>
      </x:c>
      <x:c r="H73" s="62" t="n">
        <x:v>1.195164097650893</x:v>
      </x:c>
      <x:c r="I73" s="65" t="n">
        <x:v>0.2478511566933359</x:v>
      </x:c>
      <x:c r="J73" s="56"/>
      <x:c r="K73" s="62"/>
      <x:c r="L73" s="62"/>
    </x:row>
    <x:row r="74">
      <x:c r="A74" s="50" t="str">
        <x:v>5.1</x:v>
      </x:c>
      <x:c r="B74" s="50" t="str">
        <x:v>SAE at 18 months</x:v>
      </x:c>
      <x:c r="C74" s="50" t="str">
        <x:v>RR</x:v>
      </x:c>
      <x:c r="D74" s="50" t="str">
        <x:v>Donanemab</x:v>
      </x:c>
      <x:c r="E74" s="59" t="n">
        <x:v>1</x:v>
      </x:c>
      <x:c r="F74" s="62" t="n">
        <x:v>1.098866744822196</x:v>
      </x:c>
      <x:c r="G74" s="62" t="n">
        <x:v>0.8890498331464224</x:v>
      </x:c>
      <x:c r="H74" s="62" t="n">
        <x:v>1.358200719303503</x:v>
      </x:c>
      <x:c r="I74" s="65" t="n">
        <x:v>0.3831474241093716</x:v>
      </x:c>
      <x:c r="J74" s="56"/>
      <x:c r="K74" s="62"/>
      <x:c r="L74" s="62"/>
    </x:row>
    <x:row r="75">
      <x:c r="A75" s="50" t="str">
        <x:v>5.1</x:v>
      </x:c>
      <x:c r="B75" s="50" t="str">
        <x:v>SAE at 18 months</x:v>
      </x:c>
      <x:c r="C75" s="50" t="str">
        <x:v>RR</x:v>
      </x:c>
      <x:c r="D75" s="50" t="str">
        <x:v>Lecanemab</x:v>
      </x:c>
      <x:c r="E75" s="59" t="n">
        <x:v>1</x:v>
      </x:c>
      <x:c r="F75" s="62" t="n">
        <x:v>1.246135526692981</x:v>
      </x:c>
      <x:c r="G75" s="62" t="n">
        <x:v>0.975482057916536</x:v>
      </x:c>
      <x:c r="H75" s="62" t="n">
        <x:v>1.591883457296001</x:v>
      </x:c>
      <x:c r="I75" s="65" t="n">
        <x:v>0.0781919240144356</x:v>
      </x:c>
      <x:c r="J75" s="56"/>
      <x:c r="K75" s="62"/>
      <x:c r="L75" s="62"/>
    </x:row>
    <x:row r="76">
      <x:c r="A76" s="50" t="str">
        <x:v>5.1</x:v>
      </x:c>
      <x:c r="B76" s="50" t="str">
        <x:v>SAE at 18 months</x:v>
      </x:c>
      <x:c r="C76" s="50" t="str">
        <x:v>RR</x:v>
      </x:c>
      <x:c r="D76" s="50" t="str">
        <x:v>Solanezumab</x:v>
      </x:c>
      <x:c r="E76" s="59" t="n">
        <x:v>2</x:v>
      </x:c>
      <x:c r="F76" s="62" t="n">
        <x:v>0.9147890493148582</x:v>
      </x:c>
      <x:c r="G76" s="62" t="n">
        <x:v>0.7948586996168268</x:v>
      </x:c>
      <x:c r="H76" s="62" t="n">
        <x:v>1.052814802366499</x:v>
      </x:c>
      <x:c r="I76" s="65" t="n">
        <x:v>0.2141821729809938</x:v>
      </x:c>
      <x:c r="J76" s="56" t="n">
        <x:v>0</x:v>
      </x:c>
      <x:c r="K76" s="62"/>
      <x:c r="L76" s="62"/>
    </x:row>
    <x:row r="77">
      <x:c r="A77" s="50" t="str">
        <x:v>5.2</x:v>
      </x:c>
      <x:c r="B77" s="50" t="str">
        <x:v>SAE at 24 months</x:v>
      </x:c>
      <x:c r="C77" s="50" t="str">
        <x:v>RR</x:v>
      </x:c>
      <x:c r="D77" s="50" t="str">
        <x:v>Aducanumab</x:v>
      </x:c>
      <x:c r="E77" s="59" t="n">
        <x:v>1</x:v>
      </x:c>
      <x:c r="F77" s="62" t="n">
        <x:v>1.29769820971867</x:v>
      </x:c>
      <x:c r="G77" s="62" t="n">
        <x:v>0.8159302297730878</x:v>
      </x:c>
      <x:c r="H77" s="62" t="n">
        <x:v>2.063927260024882</x:v>
      </x:c>
      <x:c r="I77" s="65" t="n">
        <x:v>0.2710216887898833</x:v>
      </x:c>
      <x:c r="J77" s="56"/>
      <x:c r="K77" s="62"/>
      <x:c r="L77" s="62"/>
    </x:row>
    <x:row r="78">
      <x:c r="A78" s="50" t="str">
        <x:v>5.2</x:v>
      </x:c>
      <x:c r="B78" s="50" t="str">
        <x:v>SAE at 24 months</x:v>
      </x:c>
      <x:c r="C78" s="50" t="str">
        <x:v>RR</x:v>
      </x:c>
      <x:c r="D78" s="50" t="str">
        <x:v>Crenezumab</x:v>
      </x:c>
      <x:c r="E78" s="59" t="n">
        <x:v>1</x:v>
      </x:c>
      <x:c r="F78" s="62" t="n">
        <x:v>1.066124469589816</x:v>
      </x:c>
      <x:c r="G78" s="62" t="n">
        <x:v>0.7779320705599281</x:v>
      </x:c>
      <x:c r="H78" s="62" t="n">
        <x:v>1.461080507762158</x:v>
      </x:c>
      <x:c r="I78" s="65" t="n">
        <x:v>0.6904700041460627</x:v>
      </x:c>
      <x:c r="J78" s="56"/>
      <x:c r="K78" s="62"/>
      <x:c r="L78" s="62"/>
    </x:row>
    <x:row r="79">
      <x:c r="A79" s="50" t="str">
        <x:v>5.2</x:v>
      </x:c>
      <x:c r="B79" s="50" t="str">
        <x:v>SAE at 24 months</x:v>
      </x:c>
      <x:c r="C79" s="50" t="str">
        <x:v>RR</x:v>
      </x:c>
      <x:c r="D79" s="50" t="str">
        <x:v>Gantenerumab</x:v>
      </x:c>
      <x:c r="E79" s="59" t="n">
        <x:v>2</x:v>
      </x:c>
      <x:c r="F79" s="62" t="n">
        <x:v>0.9127084088364051</x:v>
      </x:c>
      <x:c r="G79" s="62" t="n">
        <x:v>0.6799263193272598</x:v>
      </x:c>
      <x:c r="H79" s="62" t="n">
        <x:v>1.225186635494438</x:v>
      </x:c>
      <x:c r="I79" s="65" t="n">
        <x:v>0.5431736309083378</x:v>
      </x:c>
      <x:c r="J79" s="56" t="n">
        <x:v>0</x:v>
      </x:c>
      <x:c r="K79" s="62"/>
      <x:c r="L79" s="62"/>
    </x:row>
    <x:row r="80">
      <x:c r="A80" s="50" t="str">
        <x:v>5.3</x:v>
      </x:c>
      <x:c r="B80" s="50" t="str">
        <x:v>SAE above 24 months</x:v>
      </x:c>
      <x:c r="C80" s="50" t="str">
        <x:v>RR</x:v>
      </x:c>
      <x:c r="D80" s="50" t="str">
        <x:v>Gantenerumab</x:v>
      </x:c>
      <x:c r="E80" s="59" t="n">
        <x:v>2</x:v>
      </x:c>
      <x:c r="F80" s="62" t="n">
        <x:v>0.8237606397871372</x:v>
      </x:c>
      <x:c r="G80" s="62" t="n">
        <x:v>0.6672245404164605</x:v>
      </x:c>
      <x:c r="H80" s="62" t="n">
        <x:v>1.017021333236581</x:v>
      </x:c>
      <x:c r="I80" s="65" t="n">
        <x:v>0.0713880407286846</x:v>
      </x:c>
      <x:c r="J80" s="56" t="n">
        <x:v>0</x:v>
      </x:c>
      <x:c r="K80" s="62"/>
      <x:c r="L80" s="62"/>
    </x:row>
    <x:row r="81">
      <x:c r="A81" s="50" t="str">
        <x:v>6.1</x:v>
      </x:c>
      <x:c r="B81" s="50" t="str">
        <x:v>Mortality at 18 months</x:v>
      </x:c>
      <x:c r="C81" s="50" t="str">
        <x:v>RR</x:v>
      </x:c>
      <x:c r="D81" s="50" t="str">
        <x:v>Bapineuzumab</x:v>
      </x:c>
      <x:c r="E81" s="59" t="n">
        <x:v>2</x:v>
      </x:c>
      <x:c r="F81" s="62" t="n">
        <x:v>1.790068379862972</x:v>
      </x:c>
      <x:c r="G81" s="62" t="n">
        <x:v>0.8693862950973424</x:v>
      </x:c>
      <x:c r="H81" s="62" t="n">
        <x:v>3.685754908554736</x:v>
      </x:c>
      <x:c r="I81" s="65" t="n">
        <x:v>0.1140794479342689</x:v>
      </x:c>
      <x:c r="J81" s="56" t="n">
        <x:v>0</x:v>
      </x:c>
      <x:c r="K81" s="62"/>
      <x:c r="L81" s="62"/>
    </x:row>
    <x:row r="82">
      <x:c r="A82" s="50" t="str">
        <x:v>6.1</x:v>
      </x:c>
      <x:c r="B82" s="50" t="str">
        <x:v>Mortality at 18 months</x:v>
      </x:c>
      <x:c r="C82" s="50" t="str">
        <x:v>RR</x:v>
      </x:c>
      <x:c r="D82" s="50" t="str">
        <x:v>Crenezumab</x:v>
      </x:c>
      <x:c r="E82" s="59" t="n">
        <x:v>1</x:v>
      </x:c>
      <x:c r="F82" s="62" t="n">
        <x:v>0.0757834757834758</x:v>
      </x:c>
      <x:c r="G82" s="62" t="n">
        <x:v>0.004283471404811773</x:v>
      </x:c>
      <x:c r="H82" s="62" t="n">
        <x:v>1.340766555689668</x:v>
      </x:c>
      <x:c r="I82" s="65" t="n">
        <x:v>0.07842096548048921</x:v>
      </x:c>
      <x:c r="J82" s="56"/>
      <x:c r="K82" s="62"/>
      <x:c r="L82" s="62"/>
    </x:row>
    <x:row r="83">
      <x:c r="A83" s="50" t="str">
        <x:v>6.1</x:v>
      </x:c>
      <x:c r="B83" s="50" t="str">
        <x:v>Mortality at 18 months</x:v>
      </x:c>
      <x:c r="C83" s="50" t="str">
        <x:v>RR</x:v>
      </x:c>
      <x:c r="D83" s="50" t="str">
        <x:v>Donanemab</x:v>
      </x:c>
      <x:c r="E83" s="59" t="n">
        <x:v>1</x:v>
      </x:c>
      <x:c r="F83" s="62" t="n">
        <x:v>1.639390386869871</x:v>
      </x:c>
      <x:c r="G83" s="62" t="n">
        <x:v>0.7481808292082689</x:v>
      </x:c>
      <x:c r="H83" s="62" t="n">
        <x:v>3.592180841368774</x:v>
      </x:c>
      <x:c r="I83" s="65" t="n">
        <x:v>0.216792142084526</x:v>
      </x:c>
      <x:c r="J83" s="56"/>
      <x:c r="K83" s="62"/>
      <x:c r="L83" s="62"/>
    </x:row>
    <x:row r="84">
      <x:c r="A84" s="50" t="str">
        <x:v>6.1</x:v>
      </x:c>
      <x:c r="B84" s="50" t="str">
        <x:v>Mortality at 18 months</x:v>
      </x:c>
      <x:c r="C84" s="50" t="str">
        <x:v>RR</x:v>
      </x:c>
      <x:c r="D84" s="50" t="str">
        <x:v>Lecanemab</x:v>
      </x:c>
      <x:c r="E84" s="59" t="n">
        <x:v>1</x:v>
      </x:c>
      <x:c r="F84" s="62" t="n">
        <x:v>0.8561883550747693</x:v>
      </x:c>
      <x:c r="G84" s="62" t="n">
        <x:v>0.2888765488802598</x:v>
      </x:c>
      <x:c r="H84" s="62" t="n">
        <x:v>2.537618585541515</x:v>
      </x:c>
      <x:c r="I84" s="65" t="n">
        <x:v>0.7794096351003087</x:v>
      </x:c>
      <x:c r="J84" s="56"/>
      <x:c r="K84" s="62"/>
      <x:c r="L84" s="62"/>
    </x:row>
    <x:row r="85">
      <x:c r="A85" s="50" t="str">
        <x:v>6.1</x:v>
      </x:c>
      <x:c r="B85" s="50" t="str">
        <x:v>Mortality at 18 months</x:v>
      </x:c>
      <x:c r="C85" s="50" t="str">
        <x:v>RR</x:v>
      </x:c>
      <x:c r="D85" s="50" t="str">
        <x:v>Solanezumab</x:v>
      </x:c>
      <x:c r="E85" s="59" t="n">
        <x:v>2</x:v>
      </x:c>
      <x:c r="F85" s="62" t="n">
        <x:v>0.9626030887318018</x:v>
      </x:c>
      <x:c r="G85" s="62" t="n">
        <x:v>0.2992319995259743</x:v>
      </x:c>
      <x:c r="H85" s="62" t="n">
        <x:v>3.096609680461573</x:v>
      </x:c>
      <x:c r="I85" s="65" t="n">
        <x:v>0.9490225076656585</x:v>
      </x:c>
      <x:c r="J85" s="56" t="n">
        <x:v>74.58285787430462</x:v>
      </x:c>
      <x:c r="K85" s="62"/>
      <x:c r="L85" s="62"/>
    </x:row>
    <x:row r="86">
      <x:c r="A86" s="50" t="str">
        <x:v>6.2</x:v>
      </x:c>
      <x:c r="B86" s="50" t="str">
        <x:v>Mortality at 24 months</x:v>
      </x:c>
      <x:c r="C86" s="50" t="str">
        <x:v>RR</x:v>
      </x:c>
      <x:c r="D86" s="50" t="str">
        <x:v>Aducanumab</x:v>
      </x:c>
      <x:c r="E86" s="59" t="n">
        <x:v>1</x:v>
      </x:c>
      <x:c r="F86" s="62" t="n">
        <x:v>3.546255506607929</x:v>
      </x:c>
      <x:c r="G86" s="62" t="n">
        <x:v>0.1836978958395782</x:v>
      </x:c>
      <x:c r="H86" s="62" t="n">
        <x:v>68.45983760820818</x:v>
      </x:c>
      <x:c r="I86" s="65" t="n">
        <x:v>0.4019689066760839</x:v>
      </x:c>
      <x:c r="J86" s="56"/>
      <x:c r="K86" s="62"/>
      <x:c r="L86" s="62"/>
    </x:row>
    <x:row r="87">
      <x:c r="A87" s="50" t="str">
        <x:v>6.2</x:v>
      </x:c>
      <x:c r="B87" s="50" t="str">
        <x:v>Mortality at 24 months</x:v>
      </x:c>
      <x:c r="C87" s="50" t="str">
        <x:v>RR</x:v>
      </x:c>
      <x:c r="D87" s="50" t="str">
        <x:v>Crenezumab</x:v>
      </x:c>
      <x:c r="E87" s="59" t="n">
        <x:v>1</x:v>
      </x:c>
      <x:c r="F87" s="62" t="n">
        <x:v>1.603960396039604</x:v>
      </x:c>
      <x:c r="G87" s="62" t="n">
        <x:v>0.5292239524724195</x:v>
      </x:c>
      <x:c r="H87" s="62" t="n">
        <x:v>4.861248135207182</x:v>
      </x:c>
      <x:c r="I87" s="65" t="n">
        <x:v>0.4036306875588392</x:v>
      </x:c>
      <x:c r="J87" s="56"/>
      <x:c r="K87" s="62"/>
      <x:c r="L87" s="62"/>
    </x:row>
    <x:row r="88">
      <x:c r="A88" s="50" t="str">
        <x:v>6.2</x:v>
      </x:c>
      <x:c r="B88" s="50" t="str">
        <x:v>Mortality at 24 months</x:v>
      </x:c>
      <x:c r="C88" s="50" t="str">
        <x:v>RR</x:v>
      </x:c>
      <x:c r="D88" s="50" t="str">
        <x:v>Gantenerumab</x:v>
      </x:c>
      <x:c r="E88" s="59" t="n">
        <x:v>2</x:v>
      </x:c>
      <x:c r="F88" s="62" t="n">
        <x:v>0.5891857123694395</x:v>
      </x:c>
      <x:c r="G88" s="62" t="n">
        <x:v>0.1914827144903843</x:v>
      </x:c>
      <x:c r="H88" s="62" t="n">
        <x:v>1.812904128626798</x:v>
      </x:c>
      <x:c r="I88" s="65" t="n">
        <x:v>0.3562632663369903</x:v>
      </x:c>
      <x:c r="J88" s="56" t="n">
        <x:v>0</x:v>
      </x:c>
      <x:c r="K88" s="62"/>
      <x:c r="L88" s="62"/>
    </x:row>
    <x:row r="89">
      <x:c r="A89" s="50" t="str">
        <x:v>6.3</x:v>
      </x:c>
      <x:c r="B89" s="50" t="str">
        <x:v>Mortality above 24 months</x:v>
      </x:c>
      <x:c r="C89" s="50" t="str">
        <x:v>RR</x:v>
      </x:c>
      <x:c r="D89" s="50" t="str">
        <x:v>Gantenerumab</x:v>
      </x:c>
      <x:c r="E89" s="59" t="n">
        <x:v>2</x:v>
      </x:c>
      <x:c r="F89" s="62" t="n">
        <x:v>0.6972000337432346</x:v>
      </x:c>
      <x:c r="G89" s="62" t="n">
        <x:v>0.1251357066798499</x:v>
      </x:c>
      <x:c r="H89" s="62" t="n">
        <x:v>3.884485890947067</x:v>
      </x:c>
      <x:c r="I89" s="65" t="n">
        <x:v>0.6806620419187537</x:v>
      </x:c>
      <x:c r="J89" s="56" t="n">
        <x:v>73.3779120362122</x:v>
      </x:c>
      <x:c r="K89" s="62"/>
      <x:c r="L89" s="62"/>
    </x:row>
    <x:row r="90">
      <x:c r="A90" s="50" t="str">
        <x:v>7.1</x:v>
      </x:c>
      <x:c r="B90" s="50" t="str">
        <x:v>NPI-Q score at 12 months</x:v>
      </x:c>
      <x:c r="C90" s="50" t="str">
        <x:v>SMD</x:v>
      </x:c>
      <x:c r="D90" s="50" t="str">
        <x:v>Crenezumab</x:v>
      </x:c>
      <x:c r="E90" s="59" t="n">
        <x:v>1</x:v>
      </x:c>
      <x:c r="F90" s="62" t="n">
        <x:v>0.08604846600191733</x:v>
      </x:c>
      <x:c r="G90" s="62" t="n">
        <x:v>-0.1834920094196857</x:v>
      </x:c>
      <x:c r="H90" s="62" t="n">
        <x:v>0.3555889414235204</x:v>
      </x:c>
      <x:c r="I90" s="65" t="n">
        <x:v>0.5315107139042438</x:v>
      </x:c>
      <x:c r="J90" s="56"/>
      <x:c r="K90" s="62"/>
      <x:c r="L90" s="62"/>
    </x:row>
    <x:row r="91">
      <x:c r="A91" s="50" t="str">
        <x:v>7.2</x:v>
      </x:c>
      <x:c r="B91" s="50" t="str">
        <x:v>NPI-Q score at 18 months</x:v>
      </x:c>
      <x:c r="C91" s="50" t="str">
        <x:v>SMD</x:v>
      </x:c>
      <x:c r="D91" s="50" t="str">
        <x:v>Aducanumab</x:v>
      </x:c>
      <x:c r="E91" s="59" t="n">
        <x:v>1</x:v>
      </x:c>
      <x:c r="F91" s="62" t="n">
        <x:v>0.5168562568898105</x:v>
      </x:c>
      <x:c r="G91" s="62" t="n">
        <x:v>-0.9579855762756353</x:v>
      </x:c>
      <x:c r="H91" s="62" t="n">
        <x:v>1.991698090055256</x:v>
      </x:c>
      <x:c r="I91" s="65" t="n">
        <x:v>0.4921667733628572</x:v>
      </x:c>
      <x:c r="J91" s="56"/>
      <x:c r="K91" s="62"/>
      <x:c r="L91" s="62"/>
    </x:row>
    <x:row r="92">
      <x:c r="A92" s="50" t="str">
        <x:v>7.2</x:v>
      </x:c>
      <x:c r="B92" s="50" t="str">
        <x:v>NPI-Q score at 18 months</x:v>
      </x:c>
      <x:c r="C92" s="50" t="str">
        <x:v>SMD</x:v>
      </x:c>
      <x:c r="D92" s="50" t="str">
        <x:v>Crenezumab</x:v>
      </x:c>
      <x:c r="E92" s="59" t="n">
        <x:v>1</x:v>
      </x:c>
      <x:c r="F92" s="62" t="n">
        <x:v>0.1027444201854916</x:v>
      </x:c>
      <x:c r="G92" s="62" t="n">
        <x:v>-0.1972684485284877</x:v>
      </x:c>
      <x:c r="H92" s="62" t="n">
        <x:v>0.4027572888994709</x:v>
      </x:c>
      <x:c r="I92" s="65" t="n">
        <x:v>0.5020788493673662</x:v>
      </x:c>
      <x:c r="J92" s="56"/>
      <x:c r="K92" s="62"/>
      <x:c r="L92" s="62"/>
    </x:row>
    <x:row r="93">
      <x:c r="A93" s="50" t="str">
        <x:v>8.1</x:v>
      </x:c>
      <x:c r="B93" s="50" t="str">
        <x:v>Infusion reaction at 18 months</x:v>
      </x:c>
      <x:c r="C93" s="50" t="str">
        <x:v>RR</x:v>
      </x:c>
      <x:c r="D93" s="50" t="str">
        <x:v>Crenezumab</x:v>
      </x:c>
      <x:c r="E93" s="59" t="n">
        <x:v>1</x:v>
      </x:c>
      <x:c r="F93" s="62" t="n">
        <x:v>0.7626956244011498</x:v>
      </x:c>
      <x:c r="G93" s="62" t="n">
        <x:v>0.4558911143063905</x:v>
      </x:c>
      <x:c r="H93" s="62" t="n">
        <x:v>1.275972698800429</x:v>
      </x:c>
      <x:c r="I93" s="65" t="n">
        <x:v>0.3021863869118204</x:v>
      </x:c>
      <x:c r="J93" s="56"/>
      <x:c r="K93" s="62"/>
      <x:c r="L93" s="62"/>
    </x:row>
    <x:row r="94">
      <x:c r="A94" s="50" t="str">
        <x:v>8.1</x:v>
      </x:c>
      <x:c r="B94" s="50" t="str">
        <x:v>Infusion reaction at 18 months</x:v>
      </x:c>
      <x:c r="C94" s="50" t="str">
        <x:v>RR</x:v>
      </x:c>
      <x:c r="D94" s="50" t="str">
        <x:v>Donanemab</x:v>
      </x:c>
      <x:c r="E94" s="59" t="n">
        <x:v>1</x:v>
      </x:c>
      <x:c r="F94" s="62" t="n">
        <x:v>18.955451348182883</x:v>
      </x:c>
      <x:c r="G94" s="62" t="n">
        <x:v>6.961564222363963</x:v>
      </x:c>
      <x:c r="H94" s="62" t="n">
        <x:v>51.61327603055803</x:v>
      </x:c>
      <x:c r="I94" s="65" t="n">
        <x:v>8.578437122572958e-9</x:v>
      </x:c>
      <x:c r="J94" s="56"/>
      <x:c r="K94" s="62"/>
      <x:c r="L94" s="62"/>
    </x:row>
    <x:row r="95">
      <x:c r="A95" s="50" t="str">
        <x:v>8.1</x:v>
      </x:c>
      <x:c r="B95" s="50" t="str">
        <x:v>Infusion reaction at 18 months</x:v>
      </x:c>
      <x:c r="C95" s="50" t="str">
        <x:v>RR</x:v>
      </x:c>
      <x:c r="D95" s="50" t="str">
        <x:v>Lecanemab</x:v>
      </x:c>
      <x:c r="E95" s="59" t="n">
        <x:v>1</x:v>
      </x:c>
      <x:c r="F95" s="62" t="n">
        <x:v>3.586910305729904</x:v>
      </x:c>
      <x:c r="G95" s="62" t="n">
        <x:v>2.775065239465424</x:v>
      </x:c>
      <x:c r="H95" s="62" t="n">
        <x:v>4.636260567275826</x:v>
      </x:c>
      <x:c r="I95" s="65" t="n">
        <x:v>1.746152730525737e-22</x:v>
      </x:c>
      <x:c r="J95" s="56"/>
      <x:c r="K95" s="62"/>
      <x:c r="L95" s="62"/>
    </x:row>
    <x:row r="96">
      <x:c r="A96" s="50" t="str">
        <x:v>8.2</x:v>
      </x:c>
      <x:c r="B96" s="50" t="str">
        <x:v>Infusion reaction at 24 months</x:v>
      </x:c>
      <x:c r="C96" s="50" t="str">
        <x:v>RR</x:v>
      </x:c>
      <x:c r="D96" s="50" t="str">
        <x:v>Crenezumab</x:v>
      </x:c>
      <x:c r="E96" s="59" t="n">
        <x:v>1</x:v>
      </x:c>
      <x:c r="F96" s="62" t="n">
        <x:v>1.149178942284472</x:v>
      </x:c>
      <x:c r="G96" s="62" t="n">
        <x:v>0.7737788248778547</x:v>
      </x:c>
      <x:c r="H96" s="62" t="n">
        <x:v>1.706705067302049</x:v>
      </x:c>
      <x:c r="I96" s="65" t="n">
        <x:v>0.4907956322652618</x:v>
      </x:c>
      <x:c r="J96" s="56"/>
      <x:c r="K96" s="62"/>
      <x:c r="L96" s="62"/>
    </x:row>
    <x:row r="97">
      <x:c r="A97" s="50" t="str">
        <x:v>9.1</x:v>
      </x:c>
      <x:c r="B97" s="50" t="str">
        <x:v>Study discontinuation at 18 months</x:v>
      </x:c>
      <x:c r="C97" s="50" t="str">
        <x:v>RR</x:v>
      </x:c>
      <x:c r="D97" s="50" t="str">
        <x:v>Aducanumab</x:v>
      </x:c>
      <x:c r="E97" s="59" t="n">
        <x:v>2</x:v>
      </x:c>
      <x:c r="F97" s="62" t="n">
        <x:v>1.261992443125642</x:v>
      </x:c>
      <x:c r="G97" s="62" t="n">
        <x:v>1.030875989981942</x:v>
      </x:c>
      <x:c r="H97" s="62" t="n">
        <x:v>1.544923872496172</x:v>
      </x:c>
      <x:c r="I97" s="65" t="n">
        <x:v>0.02415827185532883</x:v>
      </x:c>
      <x:c r="J97" s="56" t="n">
        <x:v>0</x:v>
      </x:c>
      <x:c r="K97" s="62"/>
      <x:c r="L97" s="62"/>
    </x:row>
    <x:row r="98">
      <x:c r="A98" s="50" t="str">
        <x:v>9.1</x:v>
      </x:c>
      <x:c r="B98" s="50" t="str">
        <x:v>Study discontinuation at 18 months</x:v>
      </x:c>
      <x:c r="C98" s="50" t="str">
        <x:v>RR</x:v>
      </x:c>
      <x:c r="D98" s="50" t="str">
        <x:v>Bapineuzumab</x:v>
      </x:c>
      <x:c r="E98" s="59" t="n">
        <x:v>4</x:v>
      </x:c>
      <x:c r="F98" s="62" t="n">
        <x:v>1.068832498537626</x:v>
      </x:c>
      <x:c r="G98" s="62" t="n">
        <x:v>0.9078341254273925</x:v>
      </x:c>
      <x:c r="H98" s="62" t="n">
        <x:v>1.258382867456497</x:v>
      </x:c>
      <x:c r="I98" s="65" t="n">
        <x:v>0.2851925195892699</x:v>
      </x:c>
      <x:c r="J98" s="56" t="n">
        <x:v>38.489735785780496</x:v>
      </x:c>
      <x:c r="K98" s="62" t="n">
        <x:v>0.8218779358250592</x:v>
      </x:c>
      <x:c r="L98" s="62" t="n">
        <x:v>1.389990970840893</x:v>
      </x:c>
    </x:row>
    <x:row r="99">
      <x:c r="A99" s="50" t="str">
        <x:v>9.1</x:v>
      </x:c>
      <x:c r="B99" s="50" t="str">
        <x:v>Study discontinuation at 18 months</x:v>
      </x:c>
      <x:c r="C99" s="50" t="str">
        <x:v>RR</x:v>
      </x:c>
      <x:c r="D99" s="50" t="str">
        <x:v>Crenezumab</x:v>
      </x:c>
      <x:c r="E99" s="59" t="n">
        <x:v>1</x:v>
      </x:c>
      <x:c r="F99" s="62" t="n">
        <x:v>1.307125307125307</x:v>
      </x:c>
      <x:c r="G99" s="62" t="n">
        <x:v>0.8505466384473077</x:v>
      </x:c>
      <x:c r="H99" s="62" t="n">
        <x:v>2.008798214341866</x:v>
      </x:c>
      <x:c r="I99" s="65" t="n">
        <x:v>0.2218514539251335</x:v>
      </x:c>
      <x:c r="J99" s="56"/>
      <x:c r="K99" s="62"/>
      <x:c r="L99" s="62"/>
    </x:row>
    <x:row r="100">
      <x:c r="A100" s="50" t="str">
        <x:v>9.1</x:v>
      </x:c>
      <x:c r="B100" s="50" t="str">
        <x:v>Study discontinuation at 18 months</x:v>
      </x:c>
      <x:c r="C100" s="50" t="str">
        <x:v>RR</x:v>
      </x:c>
      <x:c r="D100" s="50" t="str">
        <x:v>Donanemab</x:v>
      </x:c>
      <x:c r="E100" s="59" t="n">
        <x:v>1</x:v>
      </x:c>
      <x:c r="F100" s="62" t="n">
        <x:v>1.360102164269391</x:v>
      </x:c>
      <x:c r="G100" s="62" t="n">
        <x:v>1.143855902627413</x:v>
      </x:c>
      <x:c r="H100" s="62" t="n">
        <x:v>1.617229839004329</x:v>
      </x:c>
      <x:c r="I100" s="65" t="n">
        <x:v>0.0004989643157539928</x:v>
      </x:c>
      <x:c r="J100" s="56"/>
      <x:c r="K100" s="62"/>
      <x:c r="L100" s="62"/>
    </x:row>
    <x:row r="101">
      <x:c r="A101" s="50" t="str">
        <x:v>9.1</x:v>
      </x:c>
      <x:c r="B101" s="50" t="str">
        <x:v>Study discontinuation at 18 months</x:v>
      </x:c>
      <x:c r="C101" s="50" t="str">
        <x:v>RR</x:v>
      </x:c>
      <x:c r="D101" s="50" t="str">
        <x:v>Lecanemab</x:v>
      </x:c>
      <x:c r="E101" s="59" t="n">
        <x:v>1</x:v>
      </x:c>
      <x:c r="F101" s="62" t="n">
        <x:v>1.205798600063633</x:v>
      </x:c>
      <x:c r="G101" s="62" t="n">
        <x:v>0.983299869485978</x:v>
      </x:c>
      <x:c r="H101" s="62" t="n">
        <x:v>1.478643808501138</x:v>
      </x:c>
      <x:c r="I101" s="65" t="n">
        <x:v>0.0721537897534592</x:v>
      </x:c>
      <x:c r="J101" s="56"/>
      <x:c r="K101" s="62"/>
      <x:c r="L101" s="62"/>
    </x:row>
    <x:row r="102">
      <x:c r="A102" s="50" t="str">
        <x:v>9.1</x:v>
      </x:c>
      <x:c r="B102" s="50" t="str">
        <x:v>Study discontinuation at 18 months</x:v>
      </x:c>
      <x:c r="C102" s="50" t="str">
        <x:v>RR</x:v>
      </x:c>
      <x:c r="D102" s="50" t="str">
        <x:v>Solanezumab</x:v>
      </x:c>
      <x:c r="E102" s="59" t="n">
        <x:v>2</x:v>
      </x:c>
      <x:c r="F102" s="62" t="n">
        <x:v>0.9588564559191746</x:v>
      </x:c>
      <x:c r="G102" s="62" t="n">
        <x:v>0.8246170992596529</x:v>
      </x:c>
      <x:c r="H102" s="62" t="n">
        <x:v>1.114948627530679</x:v>
      </x:c>
      <x:c r="I102" s="65" t="n">
        <x:v>0.5850805759400592</x:v>
      </x:c>
      <x:c r="J102" s="56" t="n">
        <x:v>6.822529617841252</x:v>
      </x:c>
      <x:c r="K102" s="62"/>
      <x:c r="L102" s="62"/>
    </x:row>
    <x:row r="103">
      <x:c r="A103" s="50" t="str">
        <x:v>9.2</x:v>
      </x:c>
      <x:c r="B103" s="50" t="str">
        <x:v>Study discontinuation at 24 months</x:v>
      </x:c>
      <x:c r="C103" s="50" t="str">
        <x:v>RR</x:v>
      </x:c>
      <x:c r="D103" s="50" t="str">
        <x:v>Crenezumab</x:v>
      </x:c>
      <x:c r="E103" s="59" t="n">
        <x:v>1</x:v>
      </x:c>
      <x:c r="F103" s="62" t="n">
        <x:v>1.006068597513957</x:v>
      </x:c>
      <x:c r="G103" s="62" t="n">
        <x:v>0.9366708778300018</x:v>
      </x:c>
      <x:c r="H103" s="62" t="n">
        <x:v>1.080607977530611</x:v>
      </x:c>
      <x:c r="I103" s="65" t="n">
        <x:v>0.8682265914887997</x:v>
      </x:c>
      <x:c r="J103" s="56"/>
      <x:c r="K103" s="62"/>
      <x:c r="L103" s="62"/>
    </x:row>
    <x:row r="104">
      <x:c r="A104" s="50" t="str">
        <x:v>9.2</x:v>
      </x:c>
      <x:c r="B104" s="50" t="str">
        <x:v>Study discontinuation at 24 months</x:v>
      </x:c>
      <x:c r="C104" s="50" t="str">
        <x:v>RR</x:v>
      </x:c>
      <x:c r="D104" s="50" t="str">
        <x:v>Gantenerumab</x:v>
      </x:c>
      <x:c r="E104" s="59" t="n">
        <x:v>1</x:v>
      </x:c>
      <x:c r="F104" s="62" t="n">
        <x:v>1.05361653272101</x:v>
      </x:c>
      <x:c r="G104" s="62" t="n">
        <x:v>0.7888018745680653</x:v>
      </x:c>
      <x:c r="H104" s="62" t="n">
        <x:v>1.407334127636195</x:v>
      </x:c>
      <x:c r="I104" s="65" t="n">
        <x:v>0.7236128240599273</x:v>
      </x:c>
      <x:c r="J104" s="56"/>
      <x:c r="K104" s="62"/>
      <x:c r="L104" s="62"/>
    </x:row>
    <x:row r="105">
      <x:c r="A105" s="51" t="str">
        <x:v>9.3</x:v>
      </x:c>
      <x:c r="B105" s="51" t="str">
        <x:v>Study discontinuation above 24 months</x:v>
      </x:c>
      <x:c r="C105" s="51" t="str">
        <x:v>RR</x:v>
      </x:c>
      <x:c r="D105" s="51" t="str">
        <x:v>Gantenerumab</x:v>
      </x:c>
      <x:c r="E105" s="60" t="n">
        <x:v>2</x:v>
      </x:c>
      <x:c r="F105" s="63" t="n">
        <x:v>1.355002688994968</x:v>
      </x:c>
      <x:c r="G105" s="63" t="n">
        <x:v>1.109422105329669</x:v>
      </x:c>
      <x:c r="H105" s="63" t="n">
        <x:v>1.654944748588734</x:v>
      </x:c>
      <x:c r="I105" s="66" t="n">
        <x:v>0.002903706094042277</x:v>
      </x:c>
      <x:c r="J105" s="57" t="n">
        <x:v>26.853249664784688</x:v>
      </x:c>
      <x:c r="K105" s="63"/>
      <x:c r="L105" s="63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d8092fe9f2a4e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4" customHeight="1">
      <x:c r="A1" s="3" t="str">
        <x:v>Raw mean differences by antibody</x:v>
      </x:c>
    </x:row>
    <x:row r="2" ht="32" customHeight="1">
      <x:c r="A2" s="7" t="str">
        <x:v>Reconstructed from arm means, SDs, and sample sizes where the same clinical scale was used.</x:v>
      </x:c>
    </x:row>
    <x:row r="4" ht="28" customHeight="1">
      <x:c r="A4" s="39" t="str">
        <x:v>ID</x:v>
      </x:c>
      <x:c r="B4" s="40" t="str">
        <x:v>Outcome</x:v>
      </x:c>
      <x:c r="C4" s="40" t="str">
        <x:v>Agent</x:v>
      </x:c>
      <x:c r="D4" s="40" t="str">
        <x:v>k</x:v>
      </x:c>
      <x:c r="E4" s="40" t="str">
        <x:v>MD</x:v>
      </x:c>
      <x:c r="F4" s="40" t="str">
        <x:v>CI low</x:v>
      </x:c>
      <x:c r="G4" s="40" t="str">
        <x:v>CI high</x:v>
      </x:c>
      <x:c r="H4" s="40" t="str">
        <x:v>P</x:v>
      </x:c>
      <x:c r="I4" s="41" t="str">
        <x:v>I² (%)</x:v>
      </x:c>
    </x:row>
    <x:row r="5">
      <x:c r="A5" s="49" t="str">
        <x:v>1.1</x:v>
      </x:c>
      <x:c r="B5" s="49" t="str">
        <x:v>ADAS-Cog scale at 18 months</x:v>
      </x:c>
      <x:c r="C5" s="49" t="str">
        <x:v>Aducanumab</x:v>
      </x:c>
      <x:c r="D5" s="58" t="n">
        <x:v>3</x:v>
      </x:c>
      <x:c r="E5" s="61" t="n">
        <x:v>-1.2755515805299</x:v>
      </x:c>
      <x:c r="F5" s="61" t="n">
        <x:v>-2.876602670681677</x:v>
      </x:c>
      <x:c r="G5" s="61" t="n">
        <x:v>0.3254995096218778</x:v>
      </x:c>
      <x:c r="H5" s="64" t="n">
        <x:v>0.07558056539926454</x:v>
      </x:c>
      <x:c r="I5" s="55" t="n">
        <x:v>0</x:v>
      </x:c>
    </x:row>
    <x:row r="6">
      <x:c r="A6" s="50" t="str">
        <x:v>1.1</x:v>
      </x:c>
      <x:c r="B6" s="50" t="str">
        <x:v>ADAS-Cog scale at 18 months</x:v>
      </x:c>
      <x:c r="C6" s="50" t="str">
        <x:v>Bapineuzumab</x:v>
      </x:c>
      <x:c r="D6" s="59" t="n">
        <x:v>4</x:v>
      </x:c>
      <x:c r="E6" s="62" t="n">
        <x:v>-0.1247519204363367</x:v>
      </x:c>
      <x:c r="F6" s="62" t="n">
        <x:v>-1.149334241009854</x:v>
      </x:c>
      <x:c r="G6" s="62" t="n">
        <x:v>0.8998304001371805</x:v>
      </x:c>
      <x:c r="H6" s="65" t="n">
        <x:v>0.7242491211417204</x:v>
      </x:c>
      <x:c r="I6" s="56" t="n">
        <x:v>0</x:v>
      </x:c>
    </x:row>
    <x:row r="7">
      <x:c r="A7" s="50" t="str">
        <x:v>1.1</x:v>
      </x:c>
      <x:c r="B7" s="50" t="str">
        <x:v>ADAS-Cog scale at 18 months</x:v>
      </x:c>
      <x:c r="C7" s="50" t="str">
        <x:v>Crenezumab</x:v>
      </x:c>
      <x:c r="D7" s="59" t="n">
        <x:v>1</x:v>
      </x:c>
      <x:c r="E7" s="62" t="n">
        <x:v>-1.74</x:v>
      </x:c>
      <x:c r="F7" s="62" t="n">
        <x:v>-5.517442677227923</x:v>
      </x:c>
      <x:c r="G7" s="62" t="n">
        <x:v>2.037442677227922</x:v>
      </x:c>
      <x:c r="H7" s="65" t="n">
        <x:v>0.3666233267914826</x:v>
      </x:c>
      <x:c r="I7" s="56"/>
    </x:row>
    <x:row r="8">
      <x:c r="A8" s="50" t="str">
        <x:v>1.1</x:v>
      </x:c>
      <x:c r="B8" s="50" t="str">
        <x:v>ADAS-Cog scale at 18 months</x:v>
      </x:c>
      <x:c r="C8" s="50" t="str">
        <x:v>Donanemab</x:v>
      </x:c>
      <x:c r="D8" s="59" t="n">
        <x:v>1</x:v>
      </x:c>
      <x:c r="E8" s="62" t="n">
        <x:v>-1.35</x:v>
      </x:c>
      <x:c r="F8" s="62" t="n">
        <x:v>-2.195514936058867</x:v>
      </x:c>
      <x:c r="G8" s="62" t="n">
        <x:v>-0.5044850639411324</x:v>
      </x:c>
      <x:c r="H8" s="65" t="n">
        <x:v>0.001751658413252658</x:v>
      </x:c>
      <x:c r="I8" s="56"/>
    </x:row>
    <x:row r="9">
      <x:c r="A9" s="50" t="str">
        <x:v>1.1</x:v>
      </x:c>
      <x:c r="B9" s="50" t="str">
        <x:v>ADAS-Cog scale at 18 months</x:v>
      </x:c>
      <x:c r="C9" s="50" t="str">
        <x:v>Gantenerumab</x:v>
      </x:c>
      <x:c r="D9" s="59" t="n">
        <x:v>1</x:v>
      </x:c>
      <x:c r="E9" s="62" t="n">
        <x:v>-0.2299999999999995</x:v>
      </x:c>
      <x:c r="F9" s="62" t="n">
        <x:v>-2.195457323361511</x:v>
      </x:c>
      <x:c r="G9" s="62" t="n">
        <x:v>1.735457323361512</x:v>
      </x:c>
      <x:c r="H9" s="65" t="n">
        <x:v>0.8185913274108323</x:v>
      </x:c>
      <x:c r="I9" s="56"/>
    </x:row>
    <x:row r="10">
      <x:c r="A10" s="50" t="str">
        <x:v>1.1</x:v>
      </x:c>
      <x:c r="B10" s="50" t="str">
        <x:v>ADAS-Cog scale at 18 months</x:v>
      </x:c>
      <x:c r="C10" s="50" t="str">
        <x:v>Lecanemab</x:v>
      </x:c>
      <x:c r="D10" s="59" t="n">
        <x:v>1</x:v>
      </x:c>
      <x:c r="E10" s="62" t="n">
        <x:v>-1.44</x:v>
      </x:c>
      <x:c r="F10" s="62" t="n">
        <x:v>-2.270355336365532</x:v>
      </x:c>
      <x:c r="G10" s="62" t="n">
        <x:v>-0.6096446636344685</x:v>
      </x:c>
      <x:c r="H10" s="65" t="n">
        <x:v>0.000676415469480832</x:v>
      </x:c>
      <x:c r="I10" s="56"/>
    </x:row>
    <x:row r="11">
      <x:c r="A11" s="50" t="str">
        <x:v>1.1</x:v>
      </x:c>
      <x:c r="B11" s="50" t="str">
        <x:v>ADAS-Cog scale at 18 months</x:v>
      </x:c>
      <x:c r="C11" s="50" t="str">
        <x:v>Solanezumab</x:v>
      </x:c>
      <x:c r="D11" s="59" t="n">
        <x:v>2</x:v>
      </x:c>
      <x:c r="E11" s="62" t="n">
        <x:v>-1.514956812100792</x:v>
      </x:c>
      <x:c r="F11" s="62" t="n">
        <x:v>-2.596352292847954</x:v>
      </x:c>
      <x:c r="G11" s="62" t="n">
        <x:v>-0.4335613313536297</x:v>
      </x:c>
      <x:c r="H11" s="65" t="n">
        <x:v>0.006036949155893864</x:v>
      </x:c>
      <x:c r="I11" s="56" t="n">
        <x:v>31.263361326243913</x:v>
      </x:c>
    </x:row>
    <x:row r="12">
      <x:c r="A12" s="50" t="str">
        <x:v>1.3</x:v>
      </x:c>
      <x:c r="B12" s="50" t="str">
        <x:v>ADAS-Cog scale above 24 months</x:v>
      </x:c>
      <x:c r="C12" s="50" t="str">
        <x:v>Gantenerumab</x:v>
      </x:c>
      <x:c r="D12" s="59" t="n">
        <x:v>2</x:v>
      </x:c>
      <x:c r="E12" s="62" t="n">
        <x:v>-1.267015483438359</x:v>
      </x:c>
      <x:c r="F12" s="62" t="n">
        <x:v>-2.219629855240101</x:v>
      </x:c>
      <x:c r="G12" s="62" t="n">
        <x:v>-0.3144011116366178</x:v>
      </x:c>
      <x:c r="H12" s="65" t="n">
        <x:v>0.009138444036168814</x:v>
      </x:c>
      <x:c r="I12" s="56" t="n">
        <x:v>0</x:v>
      </x:c>
    </x:row>
    <x:row r="13">
      <x:c r="A13" s="50" t="str">
        <x:v>1.4</x:v>
      </x:c>
      <x:c r="B13" s="50" t="str">
        <x:v>MMSE scale at 18 months</x:v>
      </x:c>
      <x:c r="C13" s="50" t="str">
        <x:v>Aducanumab</x:v>
      </x:c>
      <x:c r="D13" s="59" t="n">
        <x:v>3</x:v>
      </x:c>
      <x:c r="E13" s="62" t="n">
        <x:v>1.663854753595273</x:v>
      </x:c>
      <x:c r="F13" s="62" t="n">
        <x:v>-4.803171442826707</x:v>
      </x:c>
      <x:c r="G13" s="62" t="n">
        <x:v>8.130880950017254</x:v>
      </x:c>
      <x:c r="H13" s="65" t="n">
        <x:v>0.3836148031571112</x:v>
      </x:c>
      <x:c r="I13" s="56" t="n">
        <x:v>97.81563637290695</x:v>
      </x:c>
    </x:row>
    <x:row r="14">
      <x:c r="A14" s="50" t="str">
        <x:v>1.4</x:v>
      </x:c>
      <x:c r="B14" s="50" t="str">
        <x:v>MMSE scale at 18 months</x:v>
      </x:c>
      <x:c r="C14" s="50" t="str">
        <x:v>Crenezumab</x:v>
      </x:c>
      <x:c r="D14" s="59" t="n">
        <x:v>1</x:v>
      </x:c>
      <x:c r="E14" s="62" t="n">
        <x:v>0.4199999999999999</x:v>
      </x:c>
      <x:c r="F14" s="62" t="n">
        <x:v>-1.413874248310341</x:v>
      </x:c>
      <x:c r="G14" s="62" t="n">
        <x:v>2.253874248310341</x:v>
      </x:c>
      <x:c r="H14" s="65" t="n">
        <x:v>0.6535200335512068</x:v>
      </x:c>
      <x:c r="I14" s="56"/>
    </x:row>
    <x:row r="15">
      <x:c r="A15" s="50" t="str">
        <x:v>1.4</x:v>
      </x:c>
      <x:c r="B15" s="50" t="str">
        <x:v>MMSE scale at 18 months</x:v>
      </x:c>
      <x:c r="C15" s="50" t="str">
        <x:v>Donanemab</x:v>
      </x:c>
      <x:c r="D15" s="59" t="n">
        <x:v>1</x:v>
      </x:c>
      <x:c r="E15" s="62" t="n">
        <x:v>0.5700000000000003</x:v>
      </x:c>
      <x:c r="F15" s="62" t="n">
        <x:v>0.1401463293702058</x:v>
      </x:c>
      <x:c r="G15" s="62" t="n">
        <x:v>0.9998536706297948</x:v>
      </x:c>
      <x:c r="H15" s="65" t="n">
        <x:v>0.009350224836172299</x:v>
      </x:c>
      <x:c r="I15" s="56"/>
    </x:row>
    <x:row r="16">
      <x:c r="A16" s="50" t="str">
        <x:v>1.4</x:v>
      </x:c>
      <x:c r="B16" s="50" t="str">
        <x:v>MMSE scale at 18 months</x:v>
      </x:c>
      <x:c r="C16" s="50" t="str">
        <x:v>Gantenerumab</x:v>
      </x:c>
      <x:c r="D16" s="59" t="n">
        <x:v>1</x:v>
      </x:c>
      <x:c r="E16" s="62" t="n">
        <x:v>0.2000000000000002</x:v>
      </x:c>
      <x:c r="F16" s="62" t="n">
        <x:v>-0.6798972914725213</x:v>
      </x:c>
      <x:c r="G16" s="62" t="n">
        <x:v>1.079897291472522</x:v>
      </x:c>
      <x:c r="H16" s="65" t="n">
        <x:v>0.6559596475061724</x:v>
      </x:c>
      <x:c r="I16" s="56"/>
    </x:row>
    <x:row r="17">
      <x:c r="A17" s="50" t="str">
        <x:v>1.4</x:v>
      </x:c>
      <x:c r="B17" s="50" t="str">
        <x:v>MMSE scale at 18 months</x:v>
      </x:c>
      <x:c r="C17" s="50" t="str">
        <x:v>Solanezumab</x:v>
      </x:c>
      <x:c r="D17" s="59" t="n">
        <x:v>2</x:v>
      </x:c>
      <x:c r="E17" s="62" t="n">
        <x:v>0.6782656572470546</x:v>
      </x:c>
      <x:c r="F17" s="62" t="n">
        <x:v>0.2996142208925067</x:v>
      </x:c>
      <x:c r="G17" s="62" t="n">
        <x:v>1.056917093601602</x:v>
      </x:c>
      <x:c r="H17" s="65" t="n">
        <x:v>0.0004467302180691682</x:v>
      </x:c>
      <x:c r="I17" s="56" t="n">
        <x:v>4.867170749227241</x:v>
      </x:c>
    </x:row>
    <x:row r="18">
      <x:c r="A18" s="50" t="str">
        <x:v>2.1</x:v>
      </x:c>
      <x:c r="B18" s="50" t="str">
        <x:v>CDR-SB scale at 18 months</x:v>
      </x:c>
      <x:c r="C18" s="50" t="str">
        <x:v>Aducanumab</x:v>
      </x:c>
      <x:c r="D18" s="59" t="n">
        <x:v>3</x:v>
      </x:c>
      <x:c r="E18" s="62" t="n">
        <x:v>-0.03743362691017734</x:v>
      </x:c>
      <x:c r="F18" s="62" t="n">
        <x:v>-1.294725436993736</x:v>
      </x:c>
      <x:c r="G18" s="62" t="n">
        <x:v>1.219858183173381</x:v>
      </x:c>
      <x:c r="H18" s="65" t="n">
        <x:v>0.9097862717429042</x:v>
      </x:c>
      <x:c r="I18" s="56" t="n">
        <x:v>74.47420439028468</x:v>
      </x:c>
    </x:row>
    <x:row r="19">
      <x:c r="A19" s="50" t="str">
        <x:v>2.1</x:v>
      </x:c>
      <x:c r="B19" s="50" t="str">
        <x:v>CDR-SB scale at 18 months</x:v>
      </x:c>
      <x:c r="C19" s="50" t="str">
        <x:v>Crenezumab</x:v>
      </x:c>
      <x:c r="D19" s="59" t="n">
        <x:v>1</x:v>
      </x:c>
      <x:c r="E19" s="62" t="n">
        <x:v>-1.3</x:v>
      </x:c>
      <x:c r="F19" s="62" t="n">
        <x:v>-2.485319177062464</x:v>
      </x:c>
      <x:c r="G19" s="62" t="n">
        <x:v>-0.114680822937536</x:v>
      </x:c>
      <x:c r="H19" s="65" t="n">
        <x:v>0.03158746440815747</x:v>
      </x:c>
      <x:c r="I19" s="56"/>
    </x:row>
    <x:row r="20">
      <x:c r="A20" s="50" t="str">
        <x:v>2.1</x:v>
      </x:c>
      <x:c r="B20" s="50" t="str">
        <x:v>CDR-SB scale at 18 months</x:v>
      </x:c>
      <x:c r="C20" s="50" t="str">
        <x:v>Donanemab</x:v>
      </x:c>
      <x:c r="D20" s="59" t="n">
        <x:v>1</x:v>
      </x:c>
      <x:c r="E20" s="62" t="n">
        <x:v>-0.7</x:v>
      </x:c>
      <x:c r="F20" s="62" t="n">
        <x:v>-0.9636862123777886</x:v>
      </x:c>
      <x:c r="G20" s="62" t="n">
        <x:v>-0.4363137876222113</x:v>
      </x:c>
      <x:c r="H20" s="65" t="n">
        <x:v>1.960351239190724e-7</x:v>
      </x:c>
      <x:c r="I20" s="56"/>
    </x:row>
    <x:row r="21">
      <x:c r="A21" s="50" t="str">
        <x:v>2.1</x:v>
      </x:c>
      <x:c r="B21" s="50" t="str">
        <x:v>CDR-SB scale at 18 months</x:v>
      </x:c>
      <x:c r="C21" s="50" t="str">
        <x:v>Gantenerumab</x:v>
      </x:c>
      <x:c r="D21" s="59" t="n">
        <x:v>1</x:v>
      </x:c>
      <x:c r="E21" s="62" t="n">
        <x:v>0.1299999999999999</x:v>
      </x:c>
      <x:c r="F21" s="62" t="n">
        <x:v>-0.4127800159444952</x:v>
      </x:c>
      <x:c r="G21" s="62" t="n">
        <x:v>0.672780015944495</x:v>
      </x:c>
      <x:c r="H21" s="65" t="n">
        <x:v>0.6387648170168251</x:v>
      </x:c>
      <x:c r="I21" s="56"/>
    </x:row>
    <x:row r="22">
      <x:c r="A22" s="50" t="str">
        <x:v>2.1</x:v>
      </x:c>
      <x:c r="B22" s="50" t="str">
        <x:v>CDR-SB scale at 18 months</x:v>
      </x:c>
      <x:c r="C22" s="50" t="str">
        <x:v>Lecanemab</x:v>
      </x:c>
      <x:c r="D22" s="59" t="n">
        <x:v>1</x:v>
      </x:c>
      <x:c r="E22" s="62" t="n">
        <x:v>-0.45</x:v>
      </x:c>
      <x:c r="F22" s="62" t="n">
        <x:v>-0.6702865019455746</x:v>
      </x:c>
      <x:c r="G22" s="62" t="n">
        <x:v>-0.2297134980544253</x:v>
      </x:c>
      <x:c r="H22" s="65" t="n">
        <x:v>0.00006233223381444568</x:v>
      </x:c>
      <x:c r="I22" s="56"/>
    </x:row>
    <x:row r="23">
      <x:c r="A23" s="50" t="str">
        <x:v>2.1</x:v>
      </x:c>
      <x:c r="B23" s="50" t="str">
        <x:v>CDR-SB scale at 18 months</x:v>
      </x:c>
      <x:c r="C23" s="50" t="str">
        <x:v>Solanezumab</x:v>
      </x:c>
      <x:c r="D23" s="59" t="n">
        <x:v>2</x:v>
      </x:c>
      <x:c r="E23" s="62" t="n">
        <x:v>-0.2475904249150633</x:v>
      </x:c>
      <x:c r="F23" s="62" t="n">
        <x:v>-0.4680595112989339</x:v>
      </x:c>
      <x:c r="G23" s="62" t="n">
        <x:v>-0.0271213385311927</x:v>
      </x:c>
      <x:c r="H23" s="65" t="n">
        <x:v>0.02773093263857358</x:v>
      </x:c>
      <x:c r="I23" s="56" t="n">
        <x:v>0</x:v>
      </x:c>
    </x:row>
    <x:row r="24">
      <x:c r="A24" s="50" t="str">
        <x:v>2.3</x:v>
      </x:c>
      <x:c r="B24" s="50" t="str">
        <x:v>CDR-SB scale above 24 months</x:v>
      </x:c>
      <x:c r="C24" s="50" t="str">
        <x:v>Gantenerumab</x:v>
      </x:c>
      <x:c r="D24" s="59" t="n">
        <x:v>2</x:v>
      </x:c>
      <x:c r="E24" s="62" t="n">
        <x:v>-0.227514320809825</x:v>
      </x:c>
      <x:c r="F24" s="62" t="n">
        <x:v>-0.5168827865852184</x:v>
      </x:c>
      <x:c r="G24" s="62" t="n">
        <x:v>0.06185414496556835</x:v>
      </x:c>
      <x:c r="H24" s="65" t="n">
        <x:v>0.1233142047594829</x:v>
      </x:c>
      <x:c r="I24" s="56" t="n">
        <x:v>0</x:v>
      </x:c>
    </x:row>
    <x:row r="25">
      <x:c r="A25" s="50" t="str">
        <x:v>3.1</x:v>
      </x:c>
      <x:c r="B25" s="50" t="str">
        <x:v>DAD total score at 18 months</x:v>
      </x:c>
      <x:c r="C25" s="50" t="str">
        <x:v>Bapineuzumab</x:v>
      </x:c>
      <x:c r="D25" s="59" t="n">
        <x:v>4</x:v>
      </x:c>
      <x:c r="E25" s="62" t="n">
        <x:v>0.7424137711537498</x:v>
      </x:c>
      <x:c r="F25" s="62" t="n">
        <x:v>-3.01091018604994</x:v>
      </x:c>
      <x:c r="G25" s="62" t="n">
        <x:v>4.495737728357439</x:v>
      </x:c>
      <x:c r="H25" s="65" t="n">
        <x:v>0.5737006232602254</x:v>
      </x:c>
      <x:c r="I25" s="56" t="n">
        <x:v>47.77267168178479</x:v>
      </x:c>
    </x:row>
    <x:row r="26">
      <x:c r="A26" s="50" t="str">
        <x:v>3.2</x:v>
      </x:c>
      <x:c r="B26" s="50" t="str">
        <x:v>ADCS-ADL score at 18 months</x:v>
      </x:c>
      <x:c r="C26" s="50" t="str">
        <x:v>Crenezumab</x:v>
      </x:c>
      <x:c r="D26" s="59" t="n">
        <x:v>1</x:v>
      </x:c>
      <x:c r="E26" s="62" t="n">
        <x:v>2.52</x:v>
      </x:c>
      <x:c r="F26" s="62" t="n">
        <x:v>-3.109227319476198</x:v>
      </x:c>
      <x:c r="G26" s="62" t="n">
        <x:v>8.1492273194762</x:v>
      </x:c>
      <x:c r="H26" s="65" t="n">
        <x:v>0.380266983376257</x:v>
      </x:c>
      <x:c r="I26" s="56"/>
    </x:row>
    <x:row r="27">
      <x:c r="A27" s="50" t="str">
        <x:v>3.2</x:v>
      </x:c>
      <x:c r="B27" s="50" t="str">
        <x:v>ADCS-ADL score at 18 months</x:v>
      </x:c>
      <x:c r="C27" s="50" t="str">
        <x:v>Solanezumab</x:v>
      </x:c>
      <x:c r="D27" s="59" t="n">
        <x:v>2</x:v>
      </x:c>
      <x:c r="E27" s="62" t="n">
        <x:v>1.280996348126227</x:v>
      </x:c>
      <x:c r="F27" s="62" t="n">
        <x:v>0.330720021604036</x:v>
      </x:c>
      <x:c r="G27" s="62" t="n">
        <x:v>2.231272674648418</x:v>
      </x:c>
      <x:c r="H27" s="65" t="n">
        <x:v>0.008239842932263012</x:v>
      </x:c>
      <x:c r="I27" s="56" t="n">
        <x:v>0</x:v>
      </x:c>
    </x:row>
    <x:row r="28">
      <x:c r="A28" s="50" t="str">
        <x:v>3.4</x:v>
      </x:c>
      <x:c r="B28" s="50" t="str">
        <x:v>ADCS-ADL score above 24 months</x:v>
      </x:c>
      <x:c r="C28" s="50" t="str">
        <x:v>Gantenerumab</x:v>
      </x:c>
      <x:c r="D28" s="59" t="n">
        <x:v>2</x:v>
      </x:c>
      <x:c r="E28" s="62" t="n">
        <x:v>0.9542616730399138</x:v>
      </x:c>
      <x:c r="F28" s="62" t="n">
        <x:v>-0.2651608954893963</x:v>
      </x:c>
      <x:c r="G28" s="62" t="n">
        <x:v>2.173684241569224</x:v>
      </x:c>
      <x:c r="H28" s="65" t="n">
        <x:v>0.1250852855890333</x:v>
      </x:c>
      <x:c r="I28" s="56" t="n">
        <x:v>0</x:v>
      </x:c>
    </x:row>
    <x:row r="29">
      <x:c r="A29" s="50" t="str">
        <x:v>3.6</x:v>
      </x:c>
      <x:c r="B29" s="50" t="str">
        <x:v>ADCS-iADL score at 18 months</x:v>
      </x:c>
      <x:c r="C29" s="50" t="str">
        <x:v>Donanemab</x:v>
      </x:c>
      <x:c r="D29" s="59" t="n">
        <x:v>1</x:v>
      </x:c>
      <x:c r="E29" s="62" t="n">
        <x:v>1.75</x:v>
      </x:c>
      <x:c r="F29" s="62" t="n">
        <x:v>0.8213410087695308</x:v>
      </x:c>
      <x:c r="G29" s="62" t="n">
        <x:v>2.678658991230469</x:v>
      </x:c>
      <x:c r="H29" s="65" t="n">
        <x:v>0.0002212494383262123</x:v>
      </x:c>
      <x:c r="I29" s="56"/>
    </x:row>
    <x:row r="30">
      <x:c r="A30" s="50" t="str">
        <x:v>7.1</x:v>
      </x:c>
      <x:c r="B30" s="50" t="str">
        <x:v>NPI-Q score at 12 months</x:v>
      </x:c>
      <x:c r="C30" s="50" t="str">
        <x:v>Crenezumab</x:v>
      </x:c>
      <x:c r="D30" s="59" t="n">
        <x:v>1</x:v>
      </x:c>
      <x:c r="E30" s="62" t="n">
        <x:v>0.76</x:v>
      </x:c>
      <x:c r="F30" s="62" t="n">
        <x:v>-1.60030893359543</x:v>
      </x:c>
      <x:c r="G30" s="62" t="n">
        <x:v>3.12030893359543</x:v>
      </x:c>
      <x:c r="H30" s="65" t="n">
        <x:v>0.5279802213160714</x:v>
      </x:c>
      <x:c r="I30" s="56"/>
    </x:row>
    <x:row r="31">
      <x:c r="A31" s="50" t="str">
        <x:v>7.2</x:v>
      </x:c>
      <x:c r="B31" s="50" t="str">
        <x:v>NPI-Q score at 18 months</x:v>
      </x:c>
      <x:c r="C31" s="50" t="str">
        <x:v>Aducanumab</x:v>
      </x:c>
      <x:c r="D31" s="59" t="n">
        <x:v>1</x:v>
      </x:c>
      <x:c r="E31" s="62" t="n">
        <x:v>6.500000000000001</x:v>
      </x:c>
      <x:c r="F31" s="62" t="n">
        <x:v>-12.81461920011882</x:v>
      </x:c>
      <x:c r="G31" s="62" t="n">
        <x:v>25.81461920011882</x:v>
      </x:c>
      <x:c r="H31" s="65" t="n">
        <x:v>0.5095157694796356</x:v>
      </x:c>
      <x:c r="I31" s="56"/>
    </x:row>
    <x:row r="32">
      <x:c r="A32" s="51" t="str">
        <x:v>7.2</x:v>
      </x:c>
      <x:c r="B32" s="51" t="str">
        <x:v>NPI-Q score at 18 months</x:v>
      </x:c>
      <x:c r="C32" s="51" t="str">
        <x:v>Crenezumab</x:v>
      </x:c>
      <x:c r="D32" s="60" t="n">
        <x:v>1</x:v>
      </x:c>
      <x:c r="E32" s="63" t="n">
        <x:v>0.53</x:v>
      </x:c>
      <x:c r="F32" s="63" t="n">
        <x:v>-1.009413798372201</x:v>
      </x:c>
      <x:c r="G32" s="63" t="n">
        <x:v>2.069413798372201</x:v>
      </x:c>
      <x:c r="H32" s="66" t="n">
        <x:v>0.4998092462945174</x:v>
      </x:c>
      <x:c r="I32" s="57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1ad6afae1184a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5" hidden="0" customWidth="1"/>
    <x:col min="14" max="14" width="20" hidden="0" customWidth="1"/>
  </x:cols>
  <x:sheetData>
    <x:row r="1" ht="34" customHeight="1">
      <x:c r="A1" s="3" t="str">
        <x:v>Absolute safety by antibody</x:v>
      </x:c>
    </x:row>
    <x:row r="2" ht="32" customHeight="1">
      <x:c r="A2" s="7" t="str">
        <x:v>Risk differences are active minus placebo. Positive values indicate excess events with treatment.</x:v>
      </x:c>
    </x:row>
    <x:row r="4" ht="28" customHeight="1">
      <x:c r="A4" s="39" t="str">
        <x:v>ID</x:v>
      </x:c>
      <x:c r="B4" s="40" t="str">
        <x:v>Outcome</x:v>
      </x:c>
      <x:c r="C4" s="40" t="str">
        <x:v>Agent</x:v>
      </x:c>
      <x:c r="D4" s="40" t="str">
        <x:v>k</x:v>
      </x:c>
      <x:c r="E4" s="40" t="str">
        <x:v>Risk difference</x:v>
      </x:c>
      <x:c r="F4" s="40" t="str">
        <x:v>RD CI low</x:v>
      </x:c>
      <x:c r="G4" s="40" t="str">
        <x:v>RD CI high</x:v>
      </x:c>
      <x:c r="H4" s="40" t="str">
        <x:v>Active events</x:v>
      </x:c>
      <x:c r="I4" s="40" t="str">
        <x:v>Active N</x:v>
      </x:c>
      <x:c r="J4" s="40" t="str">
        <x:v>Control events</x:v>
      </x:c>
      <x:c r="K4" s="41" t="str">
        <x:v>Control N</x:v>
      </x:c>
      <x:c r="L4" s="69" t="str">
        <x:v>Excess / 1,000</x:v>
      </x:c>
      <x:c r="M4" s="69" t="str">
        <x:v>NNH/NNTB</x:v>
      </x:c>
      <x:c r="N4" s="69" t="str">
        <x:v>Interpretation</x:v>
      </x:c>
    </x:row>
    <x:row r="5">
      <x:c r="A5" s="49" t="str">
        <x:v>4.1</x:v>
      </x:c>
      <x:c r="B5" s="49" t="str">
        <x:v>Any ARIA at 18 months</x:v>
      </x:c>
      <x:c r="C5" s="49" t="str">
        <x:v>Donanemab</x:v>
      </x:c>
      <x:c r="D5" s="58" t="n">
        <x:v>1</x:v>
      </x:c>
      <x:c r="E5" s="64" t="n">
        <x:v>0.2193711251981833</x:v>
      </x:c>
      <x:c r="F5" s="64" t="n">
        <x:v>0.1793205427740144</x:v>
      </x:c>
      <x:c r="G5" s="64" t="n">
        <x:v>0.2594217076223522</x:v>
      </x:c>
      <x:c r="H5" s="58" t="n">
        <x:v>314</x:v>
      </x:c>
      <x:c r="I5" s="58" t="n">
        <x:v>853</x:v>
      </x:c>
      <x:c r="J5" s="58" t="n">
        <x:v>130</x:v>
      </x:c>
      <x:c r="K5" s="58" t="n">
        <x:v>874</x:v>
      </x:c>
      <x:c r="L5" s="74" t="n">
        <x:f>E5*1000</x:f>
        <x:v>219.3711251981833</x:v>
      </x:c>
      <x:c r="M5" s="74" t="n">
        <x:f>IF(AND(F5&lt;=0,G5&gt;=0),"Indeterminate",1/ABS(E5))</x:f>
        <x:v>4.5584850745356045</x:v>
      </x:c>
      <x:c r="N5" s="26" t="str">
        <x:f>IF(AND(F5&lt;=0,G5&gt;=0),"CI crosses zero",IF(E5&gt;0,"NNH","NNTB"))</x:f>
        <x:v>NNH</x:v>
      </x:c>
    </x:row>
    <x:row r="6">
      <x:c r="A6" s="50" t="str">
        <x:v>4.1</x:v>
      </x:c>
      <x:c r="B6" s="50" t="str">
        <x:v>Any ARIA at 18 months</x:v>
      </x:c>
      <x:c r="C6" s="50" t="str">
        <x:v>Lecanemab</x:v>
      </x:c>
      <x:c r="D6" s="59" t="n">
        <x:v>1</x:v>
      </x:c>
      <x:c r="E6" s="65" t="n">
        <x:v>0.1201617368461563</x:v>
      </x:c>
      <x:c r="F6" s="65" t="n">
        <x:v>0.0871593703942988</x:v>
      </x:c>
      <x:c r="G6" s="65" t="n">
        <x:v>0.1531641032980139</x:v>
      </x:c>
      <x:c r="H6" s="59" t="n">
        <x:v>193</x:v>
      </x:c>
      <x:c r="I6" s="59" t="n">
        <x:v>898</x:v>
      </x:c>
      <x:c r="J6" s="59" t="n">
        <x:v>85</x:v>
      </x:c>
      <x:c r="K6" s="59" t="n">
        <x:v>897</x:v>
      </x:c>
      <x:c r="L6" s="75" t="n">
        <x:f>E6*1000</x:f>
        <x:v>120.1617368461563</x:v>
      </x:c>
      <x:c r="M6" s="75" t="n">
        <x:f>IF(AND(F6&lt;=0,G6&gt;=0),"Indeterminate",1/ABS(E6))</x:f>
        <x:v>8.322116725728634</x:v>
      </x:c>
      <x:c r="N6" s="27" t="str">
        <x:f>IF(AND(F6&lt;=0,G6&gt;=0),"CI crosses zero",IF(E6&gt;0,"NNH","NNTB"))</x:f>
        <x:v>NNH</x:v>
      </x:c>
    </x:row>
    <x:row r="7">
      <x:c r="A7" s="50" t="str">
        <x:v>4.1</x:v>
      </x:c>
      <x:c r="B7" s="50" t="str">
        <x:v>Symptomatic ARIA H at 18 months</x:v>
      </x:c>
      <x:c r="C7" s="50" t="str">
        <x:v>Lecanemab</x:v>
      </x:c>
      <x:c r="D7" s="59" t="n">
        <x:v>1</x:v>
      </x:c>
      <x:c r="E7" s="65" t="n">
        <x:v>0.004451860073047252</x:v>
      </x:c>
      <x:c r="F7" s="65" t="n">
        <x:v>-0.001705940991324445</x:v>
      </x:c>
      <x:c r="G7" s="65" t="n">
        <x:v>0.01060966113741895</x:v>
      </x:c>
      <x:c r="H7" s="59" t="n">
        <x:v>6</x:v>
      </x:c>
      <x:c r="I7" s="59" t="n">
        <x:v>898</x:v>
      </x:c>
      <x:c r="J7" s="59" t="n">
        <x:v>2</x:v>
      </x:c>
      <x:c r="K7" s="59" t="n">
        <x:v>897</x:v>
      </x:c>
      <x:c r="L7" s="75" t="n">
        <x:f>E7*1000</x:f>
        <x:v>4.451860073047252</x:v>
      </x:c>
      <x:c r="M7" s="75" t="str">
        <x:f>IF(AND(F7&lt;=0,G7&gt;=0),"Indeterminate",1/ABS(E7))</x:f>
        <x:v>Indeterminate</x:v>
      </x:c>
      <x:c r="N7" s="27" t="str">
        <x:f>IF(AND(F7&lt;=0,G7&gt;=0),"CI crosses zero",IF(E7&gt;0,"NNH","NNTB"))</x:f>
        <x:v>CI crosses zero</x:v>
      </x:c>
    </x:row>
    <x:row r="8">
      <x:c r="A8" s="50" t="str">
        <x:v>4.2</x:v>
      </x:c>
      <x:c r="B8" s="50" t="str">
        <x:v>Any ARIA E at 18 months</x:v>
      </x:c>
      <x:c r="C8" s="50" t="str">
        <x:v>Aducanumab</x:v>
      </x:c>
      <x:c r="D8" s="59" t="n">
        <x:v>2</x:v>
      </x:c>
      <x:c r="E8" s="65" t="n">
        <x:v>0.3263444519606795</x:v>
      </x:c>
      <x:c r="F8" s="65" t="n">
        <x:v>0.2964230349333272</x:v>
      </x:c>
      <x:c r="G8" s="65" t="n">
        <x:v>0.3562658689880318</x:v>
      </x:c>
      <x:c r="H8" s="59" t="n">
        <x:v>387</x:v>
      </x:c>
      <x:c r="I8" s="59" t="n">
        <x:v>1095</x:v>
      </x:c>
      <x:c r="J8" s="59" t="n">
        <x:v>29</x:v>
      </x:c>
      <x:c r="K8" s="59" t="n">
        <x:v>1076</x:v>
      </x:c>
      <x:c r="L8" s="75" t="n">
        <x:f>E8*1000</x:f>
        <x:v>326.3444519606795</x:v>
      </x:c>
      <x:c r="M8" s="75" t="n">
        <x:f>IF(AND(F8&lt;=0,G8&gt;=0),"Indeterminate",1/ABS(E8))</x:f>
        <x:v>3.064246975831805</x:v>
      </x:c>
      <x:c r="N8" s="27" t="str">
        <x:f>IF(AND(F8&lt;=0,G8&gt;=0),"CI crosses zero",IF(E8&gt;0,"NNH","NNTB"))</x:f>
        <x:v>NNH</x:v>
      </x:c>
    </x:row>
    <x:row r="9">
      <x:c r="A9" s="50" t="str">
        <x:v>4.2</x:v>
      </x:c>
      <x:c r="B9" s="50" t="str">
        <x:v>Any ARIA E at 18 months</x:v>
      </x:c>
      <x:c r="C9" s="50" t="str">
        <x:v>Bapineuzumab</x:v>
      </x:c>
      <x:c r="D9" s="59" t="n">
        <x:v>4</x:v>
      </x:c>
      <x:c r="E9" s="65" t="n">
        <x:v>0.1078750173625103</x:v>
      </x:c>
      <x:c r="F9" s="65" t="n">
        <x:v>0.02654784414502663</x:v>
      </x:c>
      <x:c r="G9" s="65" t="n">
        <x:v>0.189202190579994</x:v>
      </x:c>
      <x:c r="H9" s="59" t="n">
        <x:v>256</x:v>
      </x:c>
      <x:c r="I9" s="59" t="n">
        <x:v>1923</x:v>
      </x:c>
      <x:c r="J9" s="59" t="n">
        <x:v>13</x:v>
      </x:c>
      <x:c r="K9" s="59" t="n">
        <x:v>1755</x:v>
      </x:c>
      <x:c r="L9" s="75" t="n">
        <x:f>E9*1000</x:f>
        <x:v>107.8750173625103</x:v>
      </x:c>
      <x:c r="M9" s="75" t="n">
        <x:f>IF(AND(F9&lt;=0,G9&gt;=0),"Indeterminate",1/ABS(E9))</x:f>
        <x:v>9.269986920507593</x:v>
      </x:c>
      <x:c r="N9" s="27" t="str">
        <x:f>IF(AND(F9&lt;=0,G9&gt;=0),"CI crosses zero",IF(E9&gt;0,"NNH","NNTB"))</x:f>
        <x:v>NNH</x:v>
      </x:c>
    </x:row>
    <x:row r="10">
      <x:c r="A10" s="50" t="str">
        <x:v>4.2</x:v>
      </x:c>
      <x:c r="B10" s="50" t="str">
        <x:v>Any ARIA E at 18 months</x:v>
      </x:c>
      <x:c r="C10" s="50" t="str">
        <x:v>Crenezumab</x:v>
      </x:c>
      <x:c r="D10" s="59" t="n">
        <x:v>1</x:v>
      </x:c>
      <x:c r="E10" s="65" t="n">
        <x:v>0.002512562814070352</x:v>
      </x:c>
      <x:c r="F10" s="65" t="n">
        <x:v>-0.002405779320683517</x:v>
      </x:c>
      <x:c r="G10" s="65" t="n">
        <x:v>0.007430904948824221</x:v>
      </x:c>
      <x:c r="H10" s="59" t="n">
        <x:v>1</x:v>
      </x:c>
      <x:c r="I10" s="59" t="n">
        <x:v>398</x:v>
      </x:c>
      <x:c r="J10" s="59" t="n">
        <x:v>0</x:v>
      </x:c>
      <x:c r="K10" s="59" t="n">
        <x:v>388</x:v>
      </x:c>
      <x:c r="L10" s="75" t="n">
        <x:f>E10*1000</x:f>
        <x:v>2.512562814070352</x:v>
      </x:c>
      <x:c r="M10" s="75" t="str">
        <x:f>IF(AND(F10&lt;=0,G10&gt;=0),"Indeterminate",1/ABS(E10))</x:f>
        <x:v>Indeterminate</x:v>
      </x:c>
      <x:c r="N10" s="27" t="str">
        <x:f>IF(AND(F10&lt;=0,G10&gt;=0),"CI crosses zero",IF(E10&gt;0,"NNH","NNTB"))</x:f>
        <x:v>CI crosses zero</x:v>
      </x:c>
    </x:row>
    <x:row r="11">
      <x:c r="A11" s="50" t="str">
        <x:v>4.2</x:v>
      </x:c>
      <x:c r="B11" s="50" t="str">
        <x:v>Any ARIA E at 18 months</x:v>
      </x:c>
      <x:c r="C11" s="50" t="str">
        <x:v>Donanemab</x:v>
      </x:c>
      <x:c r="D11" s="59" t="n">
        <x:v>1</x:v>
      </x:c>
      <x:c r="E11" s="65" t="n">
        <x:v>0.2197332875488584</x:v>
      </x:c>
      <x:c r="F11" s="65" t="n">
        <x:v>0.1895528813429427</x:v>
      </x:c>
      <x:c r="G11" s="65" t="n">
        <x:v>0.2499136937547742</x:v>
      </x:c>
      <x:c r="H11" s="59" t="n">
        <x:v>205</x:v>
      </x:c>
      <x:c r="I11" s="59" t="n">
        <x:v>853</x:v>
      </x:c>
      <x:c r="J11" s="59" t="n">
        <x:v>18</x:v>
      </x:c>
      <x:c r="K11" s="59" t="n">
        <x:v>874</x:v>
      </x:c>
      <x:c r="L11" s="75" t="n">
        <x:f>E11*1000</x:f>
        <x:v>219.7332875488584</x:v>
      </x:c>
      <x:c r="M11" s="75" t="n">
        <x:f>IF(AND(F11&lt;=0,G11&gt;=0),"Indeterminate",1/ABS(E11))</x:f>
        <x:v>4.550971822044245</x:v>
      </x:c>
      <x:c r="N11" s="27" t="str">
        <x:f>IF(AND(F11&lt;=0,G11&gt;=0),"CI crosses zero",IF(E11&gt;0,"NNH","NNTB"))</x:f>
        <x:v>NNH</x:v>
      </x:c>
    </x:row>
    <x:row r="12">
      <x:c r="A12" s="50" t="str">
        <x:v>4.2</x:v>
      </x:c>
      <x:c r="B12" s="50" t="str">
        <x:v>Any ARIA E at 18 months</x:v>
      </x:c>
      <x:c r="C12" s="50" t="str">
        <x:v>Lecanemab</x:v>
      </x:c>
      <x:c r="D12" s="59" t="n">
        <x:v>1</x:v>
      </x:c>
      <x:c r="E12" s="65" t="n">
        <x:v>0.109112781282821</x:v>
      </x:c>
      <x:c r="F12" s="65" t="n">
        <x:v>0.08585385873031615</x:v>
      </x:c>
      <x:c r="G12" s="65" t="n">
        <x:v>0.1323717038353258</x:v>
      </x:c>
      <x:c r="H12" s="59" t="n">
        <x:v>113</x:v>
      </x:c>
      <x:c r="I12" s="59" t="n">
        <x:v>898</x:v>
      </x:c>
      <x:c r="J12" s="59" t="n">
        <x:v>15</x:v>
      </x:c>
      <x:c r="K12" s="59" t="n">
        <x:v>897</x:v>
      </x:c>
      <x:c r="L12" s="75" t="n">
        <x:f>E12*1000</x:f>
        <x:v>109.11278128282099</x:v>
      </x:c>
      <x:c r="M12" s="75" t="n">
        <x:f>IF(AND(F12&lt;=0,G12&gt;=0),"Indeterminate",1/ABS(E12))</x:f>
        <x:v>9.164829163395568</x:v>
      </x:c>
      <x:c r="N12" s="27" t="str">
        <x:f>IF(AND(F12&lt;=0,G12&gt;=0),"CI crosses zero",IF(E12&gt;0,"NNH","NNTB"))</x:f>
        <x:v>NNH</x:v>
      </x:c>
    </x:row>
    <x:row r="13">
      <x:c r="A13" s="50" t="str">
        <x:v>4.2</x:v>
      </x:c>
      <x:c r="B13" s="50" t="str">
        <x:v>Any ARIA E at 18 months</x:v>
      </x:c>
      <x:c r="C13" s="50" t="str">
        <x:v>Solanezumab</x:v>
      </x:c>
      <x:c r="D13" s="59" t="n">
        <x:v>2</x:v>
      </x:c>
      <x:c r="E13" s="65" t="n">
        <x:v>0.002027784855756235</x:v>
      </x:c>
      <x:c r="F13" s="65" t="n">
        <x:v>-0.004605318875582467</x:v>
      </x:c>
      <x:c r="G13" s="65" t="n">
        <x:v>0.008660888587094935</x:v>
      </x:c>
      <x:c r="H13" s="59" t="n">
        <x:v>10</x:v>
      </x:c>
      <x:c r="I13" s="59" t="n">
        <x:v>1711</x:v>
      </x:c>
      <x:c r="J13" s="59" t="n">
        <x:v>5</x:v>
      </x:c>
      <x:c r="K13" s="59" t="n">
        <x:v>1727</x:v>
      </x:c>
      <x:c r="L13" s="75" t="n">
        <x:f>E13*1000</x:f>
        <x:v>2.027784855756235</x:v>
      </x:c>
      <x:c r="M13" s="75" t="str">
        <x:f>IF(AND(F13&lt;=0,G13&gt;=0),"Indeterminate",1/ABS(E13))</x:f>
        <x:v>Indeterminate</x:v>
      </x:c>
      <x:c r="N13" s="27" t="str">
        <x:f>IF(AND(F13&lt;=0,G13&gt;=0),"CI crosses zero",IF(E13&gt;0,"NNH","NNTB"))</x:f>
        <x:v>CI crosses zero</x:v>
      </x:c>
    </x:row>
    <x:row r="14">
      <x:c r="A14" s="50" t="str">
        <x:v>4.3</x:v>
      </x:c>
      <x:c r="B14" s="50" t="str">
        <x:v>Any ARIA E at 24 months</x:v>
      </x:c>
      <x:c r="C14" s="50" t="str">
        <x:v>Aducanumab</x:v>
      </x:c>
      <x:c r="D14" s="59" t="n">
        <x:v>1</x:v>
      </x:c>
      <x:c r="E14" s="65" t="n">
        <x:v>0.01029411764705882</x:v>
      </x:c>
      <x:c r="F14" s="65" t="n">
        <x:v>0.002707620932523162</x:v>
      </x:c>
      <x:c r="G14" s="65" t="n">
        <x:v>0.01788061436159449</x:v>
      </x:c>
      <x:c r="H14" s="59" t="n">
        <x:v>7</x:v>
      </x:c>
      <x:c r="I14" s="59" t="n">
        <x:v>680</x:v>
      </x:c>
      <x:c r="J14" s="59" t="n">
        <x:v>0</x:v>
      </x:c>
      <x:c r="K14" s="59" t="n">
        <x:v>344</x:v>
      </x:c>
      <x:c r="L14" s="75" t="n">
        <x:f>E14*1000</x:f>
        <x:v>10.29411764705882</x:v>
      </x:c>
      <x:c r="M14" s="75" t="n">
        <x:f>IF(AND(F14&lt;=0,G14&gt;=0),"Indeterminate",1/ABS(E14))</x:f>
        <x:v>97.14285714285718</x:v>
      </x:c>
      <x:c r="N14" s="27" t="str">
        <x:f>IF(AND(F14&lt;=0,G14&gt;=0),"CI crosses zero",IF(E14&gt;0,"NNH","NNTB"))</x:f>
        <x:v>NNH</x:v>
      </x:c>
    </x:row>
    <x:row r="15">
      <x:c r="A15" s="50" t="str">
        <x:v>4.3</x:v>
      </x:c>
      <x:c r="B15" s="50" t="str">
        <x:v>Any ARIA E at 24 months</x:v>
      </x:c>
      <x:c r="C15" s="50" t="str">
        <x:v>Crenezumab</x:v>
      </x:c>
      <x:c r="D15" s="59" t="n">
        <x:v>1</x:v>
      </x:c>
      <x:c r="E15" s="65" t="n">
        <x:v>-0.0000126260234970298</x:v>
      </x:c>
      <x:c r="F15" s="65" t="n">
        <x:v>-0.006968277874957669</x:v>
      </x:c>
      <x:c r="G15" s="65" t="n">
        <x:v>0.006943025827963609</x:v>
      </x:c>
      <x:c r="H15" s="59" t="n">
        <x:v>1</x:v>
      </x:c>
      <x:c r="I15" s="59" t="n">
        <x:v>399</x:v>
      </x:c>
      <x:c r="J15" s="59" t="n">
        <x:v>1</x:v>
      </x:c>
      <x:c r="K15" s="59" t="n">
        <x:v>397</x:v>
      </x:c>
      <x:c r="L15" s="75" t="n">
        <x:f>E15*1000</x:f>
        <x:v>-0.0126260234970298</x:v>
      </x:c>
      <x:c r="M15" s="75" t="str">
        <x:f>IF(AND(F15&lt;=0,G15&gt;=0),"Indeterminate",1/ABS(E15))</x:f>
        <x:v>Indeterminate</x:v>
      </x:c>
      <x:c r="N15" s="27" t="str">
        <x:f>IF(AND(F15&lt;=0,G15&gt;=0),"CI crosses zero",IF(E15&gt;0,"NNH","NNTB"))</x:f>
        <x:v>CI crosses zero</x:v>
      </x:c>
    </x:row>
    <x:row r="16">
      <x:c r="A16" s="50" t="str">
        <x:v>4.3</x:v>
      </x:c>
      <x:c r="B16" s="50" t="str">
        <x:v>Any ARIA E at 24 months</x:v>
      </x:c>
      <x:c r="C16" s="50" t="str">
        <x:v>Gantenerumab</x:v>
      </x:c>
      <x:c r="D16" s="59" t="n">
        <x:v>2</x:v>
      </x:c>
      <x:c r="E16" s="65" t="n">
        <x:v>0.1031832505394592</x:v>
      </x:c>
      <x:c r="F16" s="65" t="n">
        <x:v>0.05543577654188014</x:v>
      </x:c>
      <x:c r="G16" s="65" t="n">
        <x:v>0.1509307245370383</x:v>
      </x:c>
      <x:c r="H16" s="59" t="n">
        <x:v>53</x:v>
      </x:c>
      <x:c r="I16" s="59" t="n">
        <x:v>452</x:v>
      </x:c>
      <x:c r="J16" s="59" t="n">
        <x:v>5</x:v>
      </x:c>
      <x:c r="K16" s="59" t="n">
        <x:v>461</x:v>
      </x:c>
      <x:c r="L16" s="75" t="n">
        <x:f>E16*1000</x:f>
        <x:v>103.18325053945921</x:v>
      </x:c>
      <x:c r="M16" s="75" t="n">
        <x:f>IF(AND(F16&lt;=0,G16&gt;=0),"Indeterminate",1/ABS(E16))</x:f>
        <x:v>9.691495419768554</x:v>
      </x:c>
      <x:c r="N16" s="27" t="str">
        <x:f>IF(AND(F16&lt;=0,G16&gt;=0),"CI crosses zero",IF(E16&gt;0,"NNH","NNTB"))</x:f>
        <x:v>NNH</x:v>
      </x:c>
    </x:row>
    <x:row r="17">
      <x:c r="A17" s="50" t="str">
        <x:v>4.4</x:v>
      </x:c>
      <x:c r="B17" s="50" t="str">
        <x:v>Any ARIA E above 24 months</x:v>
      </x:c>
      <x:c r="C17" s="50" t="str">
        <x:v>Gantenerumab</x:v>
      </x:c>
      <x:c r="D17" s="59" t="n">
        <x:v>2</x:v>
      </x:c>
      <x:c r="E17" s="65" t="n">
        <x:v>0.221302907393972</x:v>
      </x:c>
      <x:c r="F17" s="65" t="n">
        <x:v>0.1925493295605907</x:v>
      </x:c>
      <x:c r="G17" s="65" t="n">
        <x:v>0.2500564852273534</x:v>
      </x:c>
      <x:c r="H17" s="59" t="n">
        <x:v>247</x:v>
      </x:c>
      <x:c r="I17" s="59" t="n">
        <x:v>993</x:v>
      </x:c>
      <x:c r="J17" s="59" t="n">
        <x:v>26</x:v>
      </x:c>
      <x:c r="K17" s="59" t="n">
        <x:v>946</x:v>
      </x:c>
      <x:c r="L17" s="75" t="n">
        <x:f>E17*1000</x:f>
        <x:v>221.302907393972</x:v>
      </x:c>
      <x:c r="M17" s="75" t="n">
        <x:f>IF(AND(F17&lt;=0,G17&gt;=0),"Indeterminate",1/ABS(E17))</x:f>
        <x:v>4.518693458553445</x:v>
      </x:c>
      <x:c r="N17" s="27" t="str">
        <x:f>IF(AND(F17&lt;=0,G17&gt;=0),"CI crosses zero",IF(E17&gt;0,"NNH","NNTB"))</x:f>
        <x:v>NNH</x:v>
      </x:c>
    </x:row>
    <x:row r="18">
      <x:c r="A18" s="50" t="str">
        <x:v>4.5</x:v>
      </x:c>
      <x:c r="B18" s="50" t="str">
        <x:v>Symptomatic ARIA E at 18 months</x:v>
      </x:c>
      <x:c r="C18" s="50" t="str">
        <x:v>Donanemab</x:v>
      </x:c>
      <x:c r="D18" s="59" t="n">
        <x:v>1</x:v>
      </x:c>
      <x:c r="E18" s="65" t="n">
        <x:v>0.05981714825317026</x:v>
      </x:c>
      <x:c r="F18" s="65" t="n">
        <x:v>0.04360528969497926</x:v>
      </x:c>
      <x:c r="G18" s="65" t="n">
        <x:v>0.07602900681136125</x:v>
      </x:c>
      <x:c r="H18" s="59" t="n">
        <x:v>52</x:v>
      </x:c>
      <x:c r="I18" s="59" t="n">
        <x:v>853</x:v>
      </x:c>
      <x:c r="J18" s="59" t="n">
        <x:v>1</x:v>
      </x:c>
      <x:c r="K18" s="59" t="n">
        <x:v>874</x:v>
      </x:c>
      <x:c r="L18" s="75" t="n">
        <x:f>E18*1000</x:f>
        <x:v>59.81714825317027</x:v>
      </x:c>
      <x:c r="M18" s="75" t="n">
        <x:f>IF(AND(F18&lt;=0,G18&gt;=0),"Indeterminate",1/ABS(E18))</x:f>
        <x:v>16.717614082296222</x:v>
      </x:c>
      <x:c r="N18" s="27" t="str">
        <x:f>IF(AND(F18&lt;=0,G18&gt;=0),"CI crosses zero",IF(E18&gt;0,"NNH","NNTB"))</x:f>
        <x:v>NNH</x:v>
      </x:c>
    </x:row>
    <x:row r="19">
      <x:c r="A19" s="50" t="str">
        <x:v>4.5</x:v>
      </x:c>
      <x:c r="B19" s="50" t="str">
        <x:v>Symptomatic ARIA E at 18 months</x:v>
      </x:c>
      <x:c r="C19" s="50" t="str">
        <x:v>Lecanemab</x:v>
      </x:c>
      <x:c r="D19" s="59" t="n">
        <x:v>1</x:v>
      </x:c>
      <x:c r="E19" s="65" t="n">
        <x:v>0.02783964365256125</x:v>
      </x:c>
      <x:c r="F19" s="65" t="n">
        <x:v>0.01707968228102067</x:v>
      </x:c>
      <x:c r="G19" s="65" t="n">
        <x:v>0.03859960502410183</x:v>
      </x:c>
      <x:c r="H19" s="59" t="n">
        <x:v>25</x:v>
      </x:c>
      <x:c r="I19" s="59" t="n">
        <x:v>898</x:v>
      </x:c>
      <x:c r="J19" s="59" t="n">
        <x:v>0</x:v>
      </x:c>
      <x:c r="K19" s="59" t="n">
        <x:v>897</x:v>
      </x:c>
      <x:c r="L19" s="75" t="n">
        <x:f>E19*1000</x:f>
        <x:v>27.83964365256125</x:v>
      </x:c>
      <x:c r="M19" s="75" t="n">
        <x:f>IF(AND(F19&lt;=0,G19&gt;=0),"Indeterminate",1/ABS(E19))</x:f>
        <x:v>35.919999999999995</x:v>
      </x:c>
      <x:c r="N19" s="27" t="str">
        <x:f>IF(AND(F19&lt;=0,G19&gt;=0),"CI crosses zero",IF(E19&gt;0,"NNH","NNTB"))</x:f>
        <x:v>NNH</x:v>
      </x:c>
    </x:row>
    <x:row r="20">
      <x:c r="A20" s="50" t="str">
        <x:v>4.6</x:v>
      </x:c>
      <x:c r="B20" s="50" t="str">
        <x:v>Symptomatic ARIA E above 24 months</x:v>
      </x:c>
      <x:c r="C20" s="50" t="str">
        <x:v>Gantenerumab</x:v>
      </x:c>
      <x:c r="D20" s="59" t="n">
        <x:v>2</x:v>
      </x:c>
      <x:c r="E20" s="65" t="n">
        <x:v>0.04826537995299637</x:v>
      </x:c>
      <x:c r="F20" s="65" t="n">
        <x:v>0.034351686206574</x:v>
      </x:c>
      <x:c r="G20" s="65" t="n">
        <x:v>0.06217907369941873</x:v>
      </x:c>
      <x:c r="H20" s="59" t="n">
        <x:v>50</x:v>
      </x:c>
      <x:c r="I20" s="59" t="n">
        <x:v>993</x:v>
      </x:c>
      <x:c r="J20" s="59" t="n">
        <x:v>2</x:v>
      </x:c>
      <x:c r="K20" s="59" t="n">
        <x:v>946</x:v>
      </x:c>
      <x:c r="L20" s="75" t="n">
        <x:f>E20*1000</x:f>
        <x:v>48.265379952996376</x:v>
      </x:c>
      <x:c r="M20" s="75" t="n">
        <x:f>IF(AND(F20&lt;=0,G20&gt;=0),"Indeterminate",1/ABS(E20))</x:f>
        <x:v>20.71878437451146</x:v>
      </x:c>
      <x:c r="N20" s="27" t="str">
        <x:f>IF(AND(F20&lt;=0,G20&gt;=0),"CI crosses zero",IF(E20&gt;0,"NNH","NNTB"))</x:f>
        <x:v>NNH</x:v>
      </x:c>
    </x:row>
    <x:row r="21">
      <x:c r="A21" s="50" t="str">
        <x:v>4.7</x:v>
      </x:c>
      <x:c r="B21" s="50" t="str">
        <x:v>Any ARIA H at 18 months</x:v>
      </x:c>
      <x:c r="C21" s="50" t="str">
        <x:v>Crenezumab</x:v>
      </x:c>
      <x:c r="D21" s="59" t="n">
        <x:v>1</x:v>
      </x:c>
      <x:c r="E21" s="65" t="n">
        <x:v>-0.009027094234056877</x:v>
      </x:c>
      <x:c r="F21" s="65" t="n">
        <x:v>-0.04085086801721291</x:v>
      </x:c>
      <x:c r="G21" s="65" t="n">
        <x:v>0.02279667954909916</x:v>
      </x:c>
      <x:c r="H21" s="59" t="n">
        <x:v>20</x:v>
      </x:c>
      <x:c r="I21" s="59" t="n">
        <x:v>398</x:v>
      </x:c>
      <x:c r="J21" s="59" t="n">
        <x:v>23</x:v>
      </x:c>
      <x:c r="K21" s="59" t="n">
        <x:v>388</x:v>
      </x:c>
      <x:c r="L21" s="75" t="n">
        <x:f>E21*1000</x:f>
        <x:v>-9.027094234056877</x:v>
      </x:c>
      <x:c r="M21" s="75" t="str">
        <x:f>IF(AND(F21&lt;=0,G21&gt;=0),"Indeterminate",1/ABS(E21))</x:f>
        <x:v>Indeterminate</x:v>
      </x:c>
      <x:c r="N21" s="27" t="str">
        <x:f>IF(AND(F21&lt;=0,G21&gt;=0),"CI crosses zero",IF(E21&gt;0,"NNH","NNTB"))</x:f>
        <x:v>CI crosses zero</x:v>
      </x:c>
    </x:row>
    <x:row r="22">
      <x:c r="A22" s="50" t="str">
        <x:v>4.7</x:v>
      </x:c>
      <x:c r="B22" s="50" t="str">
        <x:v>Any ARIA H at 18 months</x:v>
      </x:c>
      <x:c r="C22" s="50" t="str">
        <x:v>Donanemab</x:v>
      </x:c>
      <x:c r="D22" s="59" t="n">
        <x:v>1</x:v>
      </x:c>
      <x:c r="E22" s="65" t="n">
        <x:v>0.1780296221976012</x:v>
      </x:c>
      <x:c r="F22" s="65" t="n">
        <x:v>0.1394636530951274</x:v>
      </x:c>
      <x:c r="G22" s="65" t="n">
        <x:v>0.2165955913000749</x:v>
      </x:c>
      <x:c r="H22" s="59" t="n">
        <x:v>268</x:v>
      </x:c>
      <x:c r="I22" s="59" t="n">
        <x:v>853</x:v>
      </x:c>
      <x:c r="J22" s="59" t="n">
        <x:v>119</x:v>
      </x:c>
      <x:c r="K22" s="59" t="n">
        <x:v>874</x:v>
      </x:c>
      <x:c r="L22" s="75" t="n">
        <x:f>E22*1000</x:f>
        <x:v>178.0296221976012</x:v>
      </x:c>
      <x:c r="M22" s="75" t="n">
        <x:f>IF(AND(F22&lt;=0,G22&gt;=0),"Indeterminate",1/ABS(E22))</x:f>
        <x:v>5.617042757581463</x:v>
      </x:c>
      <x:c r="N22" s="27" t="str">
        <x:f>IF(AND(F22&lt;=0,G22&gt;=0),"CI crosses zero",IF(E22&gt;0,"NNH","NNTB"))</x:f>
        <x:v>NNH</x:v>
      </x:c>
    </x:row>
    <x:row r="23">
      <x:c r="A23" s="50" t="str">
        <x:v>4.7</x:v>
      </x:c>
      <x:c r="B23" s="50" t="str">
        <x:v>Any ARIA H at 18 months</x:v>
      </x:c>
      <x:c r="C23" s="50" t="str">
        <x:v>Lecanemab</x:v>
      </x:c>
      <x:c r="D23" s="59" t="n">
        <x:v>1</x:v>
      </x:c>
      <x:c r="E23" s="65" t="n">
        <x:v>0.08230478730139812</x:v>
      </x:c>
      <x:c r="F23" s="65" t="n">
        <x:v>0.05127700559165475</x:v>
      </x:c>
      <x:c r="G23" s="65" t="n">
        <x:v>0.1133325690111415</x:v>
      </x:c>
      <x:c r="H23" s="59" t="n">
        <x:v>155</x:v>
      </x:c>
      <x:c r="I23" s="59" t="n">
        <x:v>898</x:v>
      </x:c>
      <x:c r="J23" s="59" t="n">
        <x:v>81</x:v>
      </x:c>
      <x:c r="K23" s="59" t="n">
        <x:v>897</x:v>
      </x:c>
      <x:c r="L23" s="75" t="n">
        <x:f>E23*1000</x:f>
        <x:v>82.30478730139812</x:v>
      </x:c>
      <x:c r="M23" s="75" t="n">
        <x:f>IF(AND(F23&lt;=0,G23&gt;=0),"Indeterminate",1/ABS(E23))</x:f>
        <x:v>12.14996153672112</x:v>
      </x:c>
      <x:c r="N23" s="27" t="str">
        <x:f>IF(AND(F23&lt;=0,G23&gt;=0),"CI crosses zero",IF(E23&gt;0,"NNH","NNTB"))</x:f>
        <x:v>NNH</x:v>
      </x:c>
    </x:row>
    <x:row r="24">
      <x:c r="A24" s="50" t="str">
        <x:v>4.8</x:v>
      </x:c>
      <x:c r="B24" s="50" t="str">
        <x:v>Any ARIA H at 24 months</x:v>
      </x:c>
      <x:c r="C24" s="50" t="str">
        <x:v>Aducanumab</x:v>
      </x:c>
      <x:c r="D24" s="59" t="n">
        <x:v>1</x:v>
      </x:c>
      <x:c r="E24" s="65" t="n">
        <x:v>0.002941176470588235</x:v>
      </x:c>
      <x:c r="F24" s="65" t="n">
        <x:v>-0.001129012440247156</x:v>
      </x:c>
      <x:c r="G24" s="65" t="n">
        <x:v>0.007011365381423626</x:v>
      </x:c>
      <x:c r="H24" s="59" t="n">
        <x:v>2</x:v>
      </x:c>
      <x:c r="I24" s="59" t="n">
        <x:v>680</x:v>
      </x:c>
      <x:c r="J24" s="59" t="n">
        <x:v>0</x:v>
      </x:c>
      <x:c r="K24" s="59" t="n">
        <x:v>344</x:v>
      </x:c>
      <x:c r="L24" s="75" t="n">
        <x:f>E24*1000</x:f>
        <x:v>2.9411764705882346</x:v>
      </x:c>
      <x:c r="M24" s="75" t="str">
        <x:f>IF(AND(F24&lt;=0,G24&gt;=0),"Indeterminate",1/ABS(E24))</x:f>
        <x:v>Indeterminate</x:v>
      </x:c>
      <x:c r="N24" s="27" t="str">
        <x:f>IF(AND(F24&lt;=0,G24&gt;=0),"CI crosses zero",IF(E24&gt;0,"NNH","NNTB"))</x:f>
        <x:v>CI crosses zero</x:v>
      </x:c>
    </x:row>
    <x:row r="25">
      <x:c r="A25" s="50" t="str">
        <x:v>4.8</x:v>
      </x:c>
      <x:c r="B25" s="50" t="str">
        <x:v>Any ARIA H at 24 months</x:v>
      </x:c>
      <x:c r="C25" s="50" t="str">
        <x:v>Crenezumab</x:v>
      </x:c>
      <x:c r="D25" s="59" t="n">
        <x:v>1</x:v>
      </x:c>
      <x:c r="E25" s="65" t="n">
        <x:v>0.01965871858487528</x:v>
      </x:c>
      <x:c r="F25" s="65" t="n">
        <x:v>-0.01965599180723066</x:v>
      </x:c>
      <x:c r="G25" s="65" t="n">
        <x:v>0.05897342897698122</x:v>
      </x:c>
      <x:c r="H25" s="59" t="n">
        <x:v>39</x:v>
      </x:c>
      <x:c r="I25" s="59" t="n">
        <x:v>399</x:v>
      </x:c>
      <x:c r="J25" s="59" t="n">
        <x:v>31</x:v>
      </x:c>
      <x:c r="K25" s="59" t="n">
        <x:v>397</x:v>
      </x:c>
      <x:c r="L25" s="75" t="n">
        <x:f>E25*1000</x:f>
        <x:v>19.658718584875277</x:v>
      </x:c>
      <x:c r="M25" s="75" t="str">
        <x:f>IF(AND(F25&lt;=0,G25&gt;=0),"Indeterminate",1/ABS(E25))</x:f>
        <x:v>Indeterminate</x:v>
      </x:c>
      <x:c r="N25" s="27" t="str">
        <x:f>IF(AND(F25&lt;=0,G25&gt;=0),"CI crosses zero",IF(E25&gt;0,"NNH","NNTB"))</x:f>
        <x:v>CI crosses zero</x:v>
      </x:c>
    </x:row>
    <x:row r="26">
      <x:c r="A26" s="50" t="str">
        <x:v>4.8</x:v>
      </x:c>
      <x:c r="B26" s="50" t="str">
        <x:v>Any ARIA H at 24 months</x:v>
      </x:c>
      <x:c r="C26" s="50" t="str">
        <x:v>Gantenerumab</x:v>
      </x:c>
      <x:c r="D26" s="59" t="n">
        <x:v>2</x:v>
      </x:c>
      <x:c r="E26" s="65" t="n">
        <x:v>0.02442569588361382</x:v>
      </x:c>
      <x:c r="F26" s="65" t="n">
        <x:v>-0.01121167538653589</x:v>
      </x:c>
      <x:c r="G26" s="65" t="n">
        <x:v>0.06006306715376353</x:v>
      </x:c>
      <x:c r="H26" s="59" t="n">
        <x:v>54</x:v>
      </x:c>
      <x:c r="I26" s="59" t="n">
        <x:v>452</x:v>
      </x:c>
      <x:c r="J26" s="59" t="n">
        <x:v>43</x:v>
      </x:c>
      <x:c r="K26" s="59" t="n">
        <x:v>461</x:v>
      </x:c>
      <x:c r="L26" s="75" t="n">
        <x:f>E26*1000</x:f>
        <x:v>24.42569588361382</x:v>
      </x:c>
      <x:c r="M26" s="75" t="str">
        <x:f>IF(AND(F26&lt;=0,G26&gt;=0),"Indeterminate",1/ABS(E26))</x:f>
        <x:v>Indeterminate</x:v>
      </x:c>
      <x:c r="N26" s="27" t="str">
        <x:f>IF(AND(F26&lt;=0,G26&gt;=0),"CI crosses zero",IF(E26&gt;0,"NNH","NNTB"))</x:f>
        <x:v>CI crosses zero</x:v>
      </x:c>
    </x:row>
    <x:row r="27">
      <x:c r="A27" s="50" t="str">
        <x:v>4.9</x:v>
      </x:c>
      <x:c r="B27" s="50" t="str">
        <x:v>Any ARIA H above 24 months</x:v>
      </x:c>
      <x:c r="C27" s="50" t="str">
        <x:v>Gantenerumab</x:v>
      </x:c>
      <x:c r="D27" s="59" t="n">
        <x:v>2</x:v>
      </x:c>
      <x:c r="E27" s="65" t="n">
        <x:v>0.1058496315137823</x:v>
      </x:c>
      <x:c r="F27" s="65" t="n">
        <x:v>0.07240783422264259</x:v>
      </x:c>
      <x:c r="G27" s="65" t="n">
        <x:v>0.1392914288049221</x:v>
      </x:c>
      <x:c r="H27" s="59" t="n">
        <x:v>227</x:v>
      </x:c>
      <x:c r="I27" s="59" t="n">
        <x:v>993</x:v>
      </x:c>
      <x:c r="J27" s="59" t="n">
        <x:v>116</x:v>
      </x:c>
      <x:c r="K27" s="59" t="n">
        <x:v>946</x:v>
      </x:c>
      <x:c r="L27" s="75" t="n">
        <x:f>E27*1000</x:f>
        <x:v>105.8496315137823</x:v>
      </x:c>
      <x:c r="M27" s="75" t="n">
        <x:f>IF(AND(F27&lt;=0,G27&gt;=0),"Indeterminate",1/ABS(E27))</x:f>
        <x:v>9.447364017226585</x:v>
      </x:c>
      <x:c r="N27" s="27" t="str">
        <x:f>IF(AND(F27&lt;=0,G27&gt;=0),"CI crosses zero",IF(E27&gt;0,"NNH","NNTB"))</x:f>
        <x:v>NNH</x:v>
      </x:c>
    </x:row>
    <x:row r="28">
      <x:c r="A28" s="50" t="str">
        <x:v>5.1</x:v>
      </x:c>
      <x:c r="B28" s="50" t="str">
        <x:v>SAE at 18 months</x:v>
      </x:c>
      <x:c r="C28" s="50" t="str">
        <x:v>Aducanumab</x:v>
      </x:c>
      <x:c r="D28" s="59" t="n">
        <x:v>2</x:v>
      </x:c>
      <x:c r="E28" s="65" t="n">
        <x:v>-0.005754454437073945</x:v>
      </x:c>
      <x:c r="F28" s="65" t="n">
        <x:v>-0.03468777446835019</x:v>
      </x:c>
      <x:c r="G28" s="65" t="n">
        <x:v>0.0231788655942023</x:v>
      </x:c>
      <x:c r="H28" s="59" t="n">
        <x:v>147</x:v>
      </x:c>
      <x:c r="I28" s="59" t="n">
        <x:v>1095</x:v>
      </x:c>
      <x:c r="J28" s="59" t="n">
        <x:v>151</x:v>
      </x:c>
      <x:c r="K28" s="59" t="n">
        <x:v>1076</x:v>
      </x:c>
      <x:c r="L28" s="75" t="n">
        <x:f>E28*1000</x:f>
        <x:v>-5.754454437073945</x:v>
      </x:c>
      <x:c r="M28" s="75" t="str">
        <x:f>IF(AND(F28&lt;=0,G28&gt;=0),"Indeterminate",1/ABS(E28))</x:f>
        <x:v>Indeterminate</x:v>
      </x:c>
      <x:c r="N28" s="27" t="str">
        <x:f>IF(AND(F28&lt;=0,G28&gt;=0),"CI crosses zero",IF(E28&gt;0,"NNH","NNTB"))</x:f>
        <x:v>CI crosses zero</x:v>
      </x:c>
    </x:row>
    <x:row r="29">
      <x:c r="A29" s="50" t="str">
        <x:v>5.1</x:v>
      </x:c>
      <x:c r="B29" s="50" t="str">
        <x:v>SAE at 18 months</x:v>
      </x:c>
      <x:c r="C29" s="50" t="str">
        <x:v>Bapineuzumab</x:v>
      </x:c>
      <x:c r="D29" s="59" t="n">
        <x:v>2</x:v>
      </x:c>
      <x:c r="E29" s="65" t="n">
        <x:v>0.04654111491762468</x:v>
      </x:c>
      <x:c r="F29" s="65" t="n">
        <x:v>0.009031566324376905</x:v>
      </x:c>
      <x:c r="G29" s="65" t="n">
        <x:v>0.08405066351087245</x:v>
      </x:c>
      <x:c r="H29" s="59" t="n">
        <x:v>252</x:v>
      </x:c>
      <x:c r="I29" s="59" t="n">
        <x:v>1002</x:v>
      </x:c>
      <x:c r="J29" s="59" t="n">
        <x:v>197</x:v>
      </x:c>
      <x:c r="K29" s="59" t="n">
        <x:v>972</x:v>
      </x:c>
      <x:c r="L29" s="75" t="n">
        <x:f>E29*1000</x:f>
        <x:v>46.54111491762468</x:v>
      </x:c>
      <x:c r="M29" s="75" t="n">
        <x:f>IF(AND(F29&lt;=0,G29&gt;=0),"Indeterminate",1/ABS(E29))</x:f>
        <x:v>21.48637826510919</x:v>
      </x:c>
      <x:c r="N29" s="27" t="str">
        <x:f>IF(AND(F29&lt;=0,G29&gt;=0),"CI crosses zero",IF(E29&gt;0,"NNH","NNTB"))</x:f>
        <x:v>NNH</x:v>
      </x:c>
    </x:row>
    <x:row r="30">
      <x:c r="A30" s="50" t="str">
        <x:v>5.1</x:v>
      </x:c>
      <x:c r="B30" s="50" t="str">
        <x:v>SAE at 18 months</x:v>
      </x:c>
      <x:c r="C30" s="50" t="str">
        <x:v>Crenezumab</x:v>
      </x:c>
      <x:c r="D30" s="59" t="n">
        <x:v>1</x:v>
      </x:c>
      <x:c r="E30" s="65" t="n">
        <x:v>-0.02384446987412309</x:v>
      </x:c>
      <x:c r="F30" s="65" t="n">
        <x:v>-0.06414714286267012</x:v>
      </x:c>
      <x:c r="G30" s="65" t="n">
        <x:v>0.01645820311442394</x:v>
      </x:c>
      <x:c r="H30" s="59" t="n">
        <x:v>33</x:v>
      </x:c>
      <x:c r="I30" s="59" t="n">
        <x:v>404</x:v>
      </x:c>
      <x:c r="J30" s="59" t="n">
        <x:v>42</x:v>
      </x:c>
      <x:c r="K30" s="59" t="n">
        <x:v>398</x:v>
      </x:c>
      <x:c r="L30" s="75" t="n">
        <x:f>E30*1000</x:f>
        <x:v>-23.84446987412309</x:v>
      </x:c>
      <x:c r="M30" s="75" t="str">
        <x:f>IF(AND(F30&lt;=0,G30&gt;=0),"Indeterminate",1/ABS(E30))</x:f>
        <x:v>Indeterminate</x:v>
      </x:c>
      <x:c r="N30" s="27" t="str">
        <x:f>IF(AND(F30&lt;=0,G30&gt;=0),"CI crosses zero",IF(E30&gt;0,"NNH","NNTB"))</x:f>
        <x:v>CI crosses zero</x:v>
      </x:c>
    </x:row>
    <x:row r="31">
      <x:c r="A31" s="50" t="str">
        <x:v>5.1</x:v>
      </x:c>
      <x:c r="B31" s="50" t="str">
        <x:v>SAE at 18 months</x:v>
      </x:c>
      <x:c r="C31" s="50" t="str">
        <x:v>Donanemab</x:v>
      </x:c>
      <x:c r="D31" s="59" t="n">
        <x:v>1</x:v>
      </x:c>
      <x:c r="E31" s="65" t="n">
        <x:v>0.01561053865613624</x:v>
      </x:c>
      <x:c r="F31" s="65" t="n">
        <x:v>-0.01946387279094842</x:v>
      </x:c>
      <x:c r="G31" s="65" t="n">
        <x:v>0.05068495010322089</x:v>
      </x:c>
      <x:c r="H31" s="59" t="n">
        <x:v>148</x:v>
      </x:c>
      <x:c r="I31" s="59" t="n">
        <x:v>853</x:v>
      </x:c>
      <x:c r="J31" s="59" t="n">
        <x:v>138</x:v>
      </x:c>
      <x:c r="K31" s="59" t="n">
        <x:v>874</x:v>
      </x:c>
      <x:c r="L31" s="75" t="n">
        <x:f>E31*1000</x:f>
        <x:v>15.610538656136239</x:v>
      </x:c>
      <x:c r="M31" s="75" t="str">
        <x:f>IF(AND(F31&lt;=0,G31&gt;=0),"Indeterminate",1/ABS(E31))</x:f>
        <x:v>Indeterminate</x:v>
      </x:c>
      <x:c r="N31" s="27" t="str">
        <x:f>IF(AND(F31&lt;=0,G31&gt;=0),"CI crosses zero",IF(E31&gt;0,"NNH","NNTB"))</x:f>
        <x:v>CI crosses zero</x:v>
      </x:c>
    </x:row>
    <x:row r="32">
      <x:c r="A32" s="50" t="str">
        <x:v>5.1</x:v>
      </x:c>
      <x:c r="B32" s="50" t="str">
        <x:v>SAE at 18 months</x:v>
      </x:c>
      <x:c r="C32" s="50" t="str">
        <x:v>Lecanemab</x:v>
      </x:c>
      <x:c r="D32" s="59" t="n">
        <x:v>1</x:v>
      </x:c>
      <x:c r="E32" s="65" t="n">
        <x:v>0.02771425662875261</x:v>
      </x:c>
      <x:c r="F32" s="65" t="n">
        <x:v>-0.003008978259521879</x:v>
      </x:c>
      <x:c r="G32" s="65" t="n">
        <x:v>0.0584374915170271</x:v>
      </x:c>
      <x:c r="H32" s="59" t="n">
        <x:v>126</x:v>
      </x:c>
      <x:c r="I32" s="59" t="n">
        <x:v>898</x:v>
      </x:c>
      <x:c r="J32" s="59" t="n">
        <x:v>101</x:v>
      </x:c>
      <x:c r="K32" s="59" t="n">
        <x:v>897</x:v>
      </x:c>
      <x:c r="L32" s="75" t="n">
        <x:f>E32*1000</x:f>
        <x:v>27.714256628752608</x:v>
      </x:c>
      <x:c r="M32" s="75" t="str">
        <x:f>IF(AND(F32&lt;=0,G32&gt;=0),"Indeterminate",1/ABS(E32))</x:f>
        <x:v>Indeterminate</x:v>
      </x:c>
      <x:c r="N32" s="27" t="str">
        <x:f>IF(AND(F32&lt;=0,G32&gt;=0),"CI crosses zero",IF(E32&gt;0,"NNH","NNTB"))</x:f>
        <x:v>CI crosses zero</x:v>
      </x:c>
    </x:row>
    <x:row r="33">
      <x:c r="A33" s="50" t="str">
        <x:v>5.1</x:v>
      </x:c>
      <x:c r="B33" s="50" t="str">
        <x:v>SAE at 18 months</x:v>
      </x:c>
      <x:c r="C33" s="50" t="str">
        <x:v>Solanezumab</x:v>
      </x:c>
      <x:c r="D33" s="59" t="n">
        <x:v>2</x:v>
      </x:c>
      <x:c r="E33" s="65" t="n">
        <x:v>-0.01692908650600449</x:v>
      </x:c>
      <x:c r="F33" s="65" t="n">
        <x:v>-0.04286760999270014</x:v>
      </x:c>
      <x:c r="G33" s="65" t="n">
        <x:v>0.009009436980691156</x:v>
      </x:c>
      <x:c r="H33" s="59" t="n">
        <x:v>302</x:v>
      </x:c>
      <x:c r="I33" s="59" t="n">
        <x:v>1708</x:v>
      </x:c>
      <x:c r="J33" s="59" t="n">
        <x:v>334</x:v>
      </x:c>
      <x:c r="K33" s="59" t="n">
        <x:v>1727</x:v>
      </x:c>
      <x:c r="L33" s="75" t="n">
        <x:f>E33*1000</x:f>
        <x:v>-16.92908650600449</x:v>
      </x:c>
      <x:c r="M33" s="75" t="str">
        <x:f>IF(AND(F33&lt;=0,G33&gt;=0),"Indeterminate",1/ABS(E33))</x:f>
        <x:v>Indeterminate</x:v>
      </x:c>
      <x:c r="N33" s="27" t="str">
        <x:f>IF(AND(F33&lt;=0,G33&gt;=0),"CI crosses zero",IF(E33&gt;0,"NNH","NNTB"))</x:f>
        <x:v>CI crosses zero</x:v>
      </x:c>
    </x:row>
    <x:row r="34">
      <x:c r="A34" s="50" t="str">
        <x:v>5.2</x:v>
      </x:c>
      <x:c r="B34" s="50" t="str">
        <x:v>SAE at 24 months</x:v>
      </x:c>
      <x:c r="C34" s="50" t="str">
        <x:v>Aducanumab</x:v>
      </x:c>
      <x:c r="D34" s="59" t="n">
        <x:v>1</x:v>
      </x:c>
      <x:c r="E34" s="65" t="n">
        <x:v>0.01990424076607387</x:v>
      </x:c>
      <x:c r="F34" s="65" t="n">
        <x:v>-0.013923800493536</x:v>
      </x:c>
      <x:c r="G34" s="65" t="n">
        <x:v>0.05373228202568375</x:v>
      </x:c>
      <x:c r="H34" s="59" t="n">
        <x:v>59</x:v>
      </x:c>
      <x:c r="I34" s="59" t="n">
        <x:v>680</x:v>
      </x:c>
      <x:c r="J34" s="59" t="n">
        <x:v>23</x:v>
      </x:c>
      <x:c r="K34" s="59" t="n">
        <x:v>344</x:v>
      </x:c>
      <x:c r="L34" s="75" t="n">
        <x:f>E34*1000</x:f>
        <x:v>19.904240766073872</x:v>
      </x:c>
      <x:c r="M34" s="75" t="str">
        <x:f>IF(AND(F34&lt;=0,G34&gt;=0),"Indeterminate",1/ABS(E34))</x:f>
        <x:v>Indeterminate</x:v>
      </x:c>
      <x:c r="N34" s="27" t="str">
        <x:f>IF(AND(F34&lt;=0,G34&gt;=0),"CI crosses zero",IF(E34&gt;0,"NNH","NNTB"))</x:f>
        <x:v>CI crosses zero</x:v>
      </x:c>
    </x:row>
    <x:row r="35">
      <x:c r="A35" s="50" t="str">
        <x:v>5.2</x:v>
      </x:c>
      <x:c r="B35" s="50" t="str">
        <x:v>SAE at 24 months</x:v>
      </x:c>
      <x:c r="C35" s="50" t="str">
        <x:v>Crenezumab</x:v>
      </x:c>
      <x:c r="D35" s="59" t="n">
        <x:v>1</x:v>
      </x:c>
      <x:c r="E35" s="65" t="n">
        <x:v>0.01028602860286029</x:v>
      </x:c>
      <x:c r="F35" s="65" t="n">
        <x:v>-0.04032364104358745</x:v>
      </x:c>
      <x:c r="G35" s="65" t="n">
        <x:v>0.06089569824930803</x:v>
      </x:c>
      <x:c r="H35" s="59" t="n">
        <x:v>67</x:v>
      </x:c>
      <x:c r="I35" s="59" t="n">
        <x:v>404</x:v>
      </x:c>
      <x:c r="J35" s="59" t="n">
        <x:v>63</x:v>
      </x:c>
      <x:c r="K35" s="59" t="n">
        <x:v>405</x:v>
      </x:c>
      <x:c r="L35" s="75" t="n">
        <x:f>E35*1000</x:f>
        <x:v>10.28602860286029</x:v>
      </x:c>
      <x:c r="M35" s="75" t="str">
        <x:f>IF(AND(F35&lt;=0,G35&gt;=0),"Indeterminate",1/ABS(E35))</x:f>
        <x:v>Indeterminate</x:v>
      </x:c>
      <x:c r="N35" s="27" t="str">
        <x:f>IF(AND(F35&lt;=0,G35&gt;=0),"CI crosses zero",IF(E35&gt;0,"NNH","NNTB"))</x:f>
        <x:v>CI crosses zero</x:v>
      </x:c>
    </x:row>
    <x:row r="36">
      <x:c r="A36" s="50" t="str">
        <x:v>5.2</x:v>
      </x:c>
      <x:c r="B36" s="50" t="str">
        <x:v>SAE at 24 months</x:v>
      </x:c>
      <x:c r="C36" s="50" t="str">
        <x:v>Gantenerumab</x:v>
      </x:c>
      <x:c r="D36" s="59" t="n">
        <x:v>2</x:v>
      </x:c>
      <x:c r="E36" s="65" t="n">
        <x:v>-0.01080160301754367</x:v>
      </x:c>
      <x:c r="F36" s="65" t="n">
        <x:v>-0.05756935544078949</x:v>
      </x:c>
      <x:c r="G36" s="65" t="n">
        <x:v>0.03596614940570216</x:v>
      </x:c>
      <x:c r="H36" s="59" t="n">
        <x:v>70</x:v>
      </x:c>
      <x:c r="I36" s="59" t="n">
        <x:v>452</x:v>
      </x:c>
      <x:c r="J36" s="59" t="n">
        <x:v>78</x:v>
      </x:c>
      <x:c r="K36" s="59" t="n">
        <x:v>461</x:v>
      </x:c>
      <x:c r="L36" s="75" t="n">
        <x:f>E36*1000</x:f>
        <x:v>-10.80160301754367</x:v>
      </x:c>
      <x:c r="M36" s="75" t="str">
        <x:f>IF(AND(F36&lt;=0,G36&gt;=0),"Indeterminate",1/ABS(E36))</x:f>
        <x:v>Indeterminate</x:v>
      </x:c>
      <x:c r="N36" s="27" t="str">
        <x:f>IF(AND(F36&lt;=0,G36&gt;=0),"CI crosses zero",IF(E36&gt;0,"NNH","NNTB"))</x:f>
        <x:v>CI crosses zero</x:v>
      </x:c>
    </x:row>
    <x:row r="37">
      <x:c r="A37" s="50" t="str">
        <x:v>5.3</x:v>
      </x:c>
      <x:c r="B37" s="50" t="str">
        <x:v>SAE above 24 months</x:v>
      </x:c>
      <x:c r="C37" s="50" t="str">
        <x:v>Gantenerumab</x:v>
      </x:c>
      <x:c r="D37" s="59" t="n">
        <x:v>2</x:v>
      </x:c>
      <x:c r="E37" s="65" t="n">
        <x:v>-0.02696890341795147</x:v>
      </x:c>
      <x:c r="F37" s="65" t="n">
        <x:v>-0.06133648299168572</x:v>
      </x:c>
      <x:c r="G37" s="65" t="n">
        <x:v>0.007398676155782789</x:v>
      </x:c>
      <x:c r="H37" s="59" t="n">
        <x:v>137</x:v>
      </x:c>
      <x:c r="I37" s="59" t="n">
        <x:v>1004</x:v>
      </x:c>
      <x:c r="J37" s="59" t="n">
        <x:v>158</x:v>
      </x:c>
      <x:c r="K37" s="59" t="n">
        <x:v>955</x:v>
      </x:c>
      <x:c r="L37" s="75" t="n">
        <x:f>E37*1000</x:f>
        <x:v>-26.96890341795147</x:v>
      </x:c>
      <x:c r="M37" s="75" t="str">
        <x:f>IF(AND(F37&lt;=0,G37&gt;=0),"Indeterminate",1/ABS(E37))</x:f>
        <x:v>Indeterminate</x:v>
      </x:c>
      <x:c r="N37" s="27" t="str">
        <x:f>IF(AND(F37&lt;=0,G37&gt;=0),"CI crosses zero",IF(E37&gt;0,"NNH","NNTB"))</x:f>
        <x:v>CI crosses zero</x:v>
      </x:c>
    </x:row>
    <x:row r="38">
      <x:c r="A38" s="50" t="str">
        <x:v>6.1</x:v>
      </x:c>
      <x:c r="B38" s="50" t="str">
        <x:v>Mortality at 18 months</x:v>
      </x:c>
      <x:c r="C38" s="50" t="str">
        <x:v>Bapineuzumab</x:v>
      </x:c>
      <x:c r="D38" s="59" t="n">
        <x:v>2</x:v>
      </x:c>
      <x:c r="E38" s="65" t="n">
        <x:v>0.009869489505337592</x:v>
      </x:c>
      <x:c r="F38" s="65" t="n">
        <x:v>-0.00167056039438384</x:v>
      </x:c>
      <x:c r="G38" s="65" t="n">
        <x:v>0.02140953940505902</x:v>
      </x:c>
      <x:c r="H38" s="59" t="n">
        <x:v>22</x:v>
      </x:c>
      <x:c r="I38" s="59" t="n">
        <x:v>1002</x:v>
      </x:c>
      <x:c r="J38" s="59" t="n">
        <x:v>12</x:v>
      </x:c>
      <x:c r="K38" s="59" t="n">
        <x:v>972</x:v>
      </x:c>
      <x:c r="L38" s="75" t="n">
        <x:f>E38*1000</x:f>
        <x:v>9.869489505337592</x:v>
      </x:c>
      <x:c r="M38" s="75" t="str">
        <x:f>IF(AND(F38&lt;=0,G38&gt;=0),"Indeterminate",1/ABS(E38))</x:f>
        <x:v>Indeterminate</x:v>
      </x:c>
      <x:c r="N38" s="27" t="str">
        <x:f>IF(AND(F38&lt;=0,G38&gt;=0),"CI crosses zero",IF(E38&gt;0,"NNH","NNTB"))</x:f>
        <x:v>CI crosses zero</x:v>
      </x:c>
    </x:row>
    <x:row r="39">
      <x:c r="A39" s="50" t="str">
        <x:v>6.1</x:v>
      </x:c>
      <x:c r="B39" s="50" t="str">
        <x:v>Mortality at 18 months</x:v>
      </x:c>
      <x:c r="C39" s="50" t="str">
        <x:v>Crenezumab</x:v>
      </x:c>
      <x:c r="D39" s="59" t="n">
        <x:v>1</x:v>
      </x:c>
      <x:c r="E39" s="65" t="n">
        <x:v>-0.01507537688442211</x:v>
      </x:c>
      <x:c r="F39" s="65" t="n">
        <x:v>-0.02704669968839869</x:v>
      </x:c>
      <x:c r="G39" s="65" t="n">
        <x:v>-0.003104054080445532</x:v>
      </x:c>
      <x:c r="H39" s="59" t="n">
        <x:v>0</x:v>
      </x:c>
      <x:c r="I39" s="59" t="n">
        <x:v>404</x:v>
      </x:c>
      <x:c r="J39" s="59" t="n">
        <x:v>6</x:v>
      </x:c>
      <x:c r="K39" s="59" t="n">
        <x:v>398</x:v>
      </x:c>
      <x:c r="L39" s="75" t="n">
        <x:f>E39*1000</x:f>
        <x:v>-15.07537688442211</x:v>
      </x:c>
      <x:c r="M39" s="75" t="n">
        <x:f>IF(AND(F39&lt;=0,G39&gt;=0),"Indeterminate",1/ABS(E39))</x:f>
        <x:v>66.33333333333334</x:v>
      </x:c>
      <x:c r="N39" s="27" t="str">
        <x:f>IF(AND(F39&lt;=0,G39&gt;=0),"CI crosses zero",IF(E39&gt;0,"NNH","NNTB"))</x:f>
        <x:v>NNTB</x:v>
      </x:c>
    </x:row>
    <x:row r="40">
      <x:c r="A40" s="50" t="str">
        <x:v>6.1</x:v>
      </x:c>
      <x:c r="B40" s="50" t="str">
        <x:v>Mortality at 18 months</x:v>
      </x:c>
      <x:c r="C40" s="50" t="str">
        <x:v>Donanemab</x:v>
      </x:c>
      <x:c r="D40" s="59" t="n">
        <x:v>1</x:v>
      </x:c>
      <x:c r="E40" s="65" t="n">
        <x:v>0.007315679483636968</x:v>
      </x:c>
      <x:c r="F40" s="65" t="n">
        <x:v>-0.004199623150161641</x:v>
      </x:c>
      <x:c r="G40" s="65" t="n">
        <x:v>0.01883098211743558</x:v>
      </x:c>
      <x:c r="H40" s="59" t="n">
        <x:v>16</x:v>
      </x:c>
      <x:c r="I40" s="59" t="n">
        <x:v>853</x:v>
      </x:c>
      <x:c r="J40" s="59" t="n">
        <x:v>10</x:v>
      </x:c>
      <x:c r="K40" s="59" t="n">
        <x:v>874</x:v>
      </x:c>
      <x:c r="L40" s="75" t="n">
        <x:f>E40*1000</x:f>
        <x:v>7.315679483636968</x:v>
      </x:c>
      <x:c r="M40" s="75" t="str">
        <x:f>IF(AND(F40&lt;=0,G40&gt;=0),"Indeterminate",1/ABS(E40))</x:f>
        <x:v>Indeterminate</x:v>
      </x:c>
      <x:c r="N40" s="27" t="str">
        <x:f>IF(AND(F40&lt;=0,G40&gt;=0),"CI crosses zero",IF(E40&gt;0,"NNH","NNTB"))</x:f>
        <x:v>CI crosses zero</x:v>
      </x:c>
    </x:row>
    <x:row r="41">
      <x:c r="A41" s="50" t="str">
        <x:v>6.1</x:v>
      </x:c>
      <x:c r="B41" s="50" t="str">
        <x:v>Mortality at 18 months</x:v>
      </x:c>
      <x:c r="C41" s="50" t="str">
        <x:v>Lecanemab</x:v>
      </x:c>
      <x:c r="D41" s="59" t="n">
        <x:v>1</x:v>
      </x:c>
      <x:c r="E41" s="65" t="n">
        <x:v>-0.001122275935871365</x:v>
      </x:c>
      <x:c r="F41" s="65" t="n">
        <x:v>-0.00896769416176784</x:v>
      </x:c>
      <x:c r="G41" s="65" t="n">
        <x:v>0.006723142290025109</x:v>
      </x:c>
      <x:c r="H41" s="59" t="n">
        <x:v>6</x:v>
      </x:c>
      <x:c r="I41" s="59" t="n">
        <x:v>898</x:v>
      </x:c>
      <x:c r="J41" s="59" t="n">
        <x:v>7</x:v>
      </x:c>
      <x:c r="K41" s="59" t="n">
        <x:v>897</x:v>
      </x:c>
      <x:c r="L41" s="75" t="n">
        <x:f>E41*1000</x:f>
        <x:v>-1.122275935871365</x:v>
      </x:c>
      <x:c r="M41" s="75" t="str">
        <x:f>IF(AND(F41&lt;=0,G41&gt;=0),"Indeterminate",1/ABS(E41))</x:f>
        <x:v>Indeterminate</x:v>
      </x:c>
      <x:c r="N41" s="27" t="str">
        <x:f>IF(AND(F41&lt;=0,G41&gt;=0),"CI crosses zero",IF(E41&gt;0,"NNH","NNTB"))</x:f>
        <x:v>CI crosses zero</x:v>
      </x:c>
    </x:row>
    <x:row r="42">
      <x:c r="A42" s="50" t="str">
        <x:v>6.1</x:v>
      </x:c>
      <x:c r="B42" s="50" t="str">
        <x:v>Mortality at 18 months</x:v>
      </x:c>
      <x:c r="C42" s="50" t="str">
        <x:v>Solanezumab</x:v>
      </x:c>
      <x:c r="D42" s="59" t="n">
        <x:v>2</x:v>
      </x:c>
      <x:c r="E42" s="65" t="n">
        <x:v>0.0001231297784775069</x:v>
      </x:c>
      <x:c r="F42" s="65" t="n">
        <x:v>-0.01614237239315692</x:v>
      </x:c>
      <x:c r="G42" s="65" t="n">
        <x:v>0.01638863195011194</x:v>
      </x:c>
      <x:c r="H42" s="59" t="n">
        <x:v>23</x:v>
      </x:c>
      <x:c r="I42" s="59" t="n">
        <x:v>1708</x:v>
      </x:c>
      <x:c r="J42" s="59" t="n">
        <x:v>25</x:v>
      </x:c>
      <x:c r="K42" s="59" t="n">
        <x:v>1727</x:v>
      </x:c>
      <x:c r="L42" s="75" t="n">
        <x:f>E42*1000</x:f>
        <x:v>0.1231297784775069</x:v>
      </x:c>
      <x:c r="M42" s="75" t="str">
        <x:f>IF(AND(F42&lt;=0,G42&gt;=0),"Indeterminate",1/ABS(E42))</x:f>
        <x:v>Indeterminate</x:v>
      </x:c>
      <x:c r="N42" s="27" t="str">
        <x:f>IF(AND(F42&lt;=0,G42&gt;=0),"CI crosses zero",IF(E42&gt;0,"NNH","NNTB"))</x:f>
        <x:v>CI crosses zero</x:v>
      </x:c>
    </x:row>
    <x:row r="43">
      <x:c r="A43" s="50" t="str">
        <x:v>6.2</x:v>
      </x:c>
      <x:c r="B43" s="50" t="str">
        <x:v>Mortality at 24 months</x:v>
      </x:c>
      <x:c r="C43" s="50" t="str">
        <x:v>Aducanumab</x:v>
      </x:c>
      <x:c r="D43" s="59" t="n">
        <x:v>1</x:v>
      </x:c>
      <x:c r="E43" s="65" t="n">
        <x:v>0.004411764705882353</x:v>
      </x:c>
      <x:c r="F43" s="65" t="n">
        <x:v>-0.000569500720074766</x:v>
      </x:c>
      <x:c r="G43" s="65" t="n">
        <x:v>0.009393030131839472</x:v>
      </x:c>
      <x:c r="H43" s="59" t="n">
        <x:v>3</x:v>
      </x:c>
      <x:c r="I43" s="59" t="n">
        <x:v>680</x:v>
      </x:c>
      <x:c r="J43" s="59" t="n">
        <x:v>0</x:v>
      </x:c>
      <x:c r="K43" s="59" t="n">
        <x:v>344</x:v>
      </x:c>
      <x:c r="L43" s="75" t="n">
        <x:f>E43*1000</x:f>
        <x:v>4.411764705882353</x:v>
      </x:c>
      <x:c r="M43" s="75" t="str">
        <x:f>IF(AND(F43&lt;=0,G43&gt;=0),"Indeterminate",1/ABS(E43))</x:f>
        <x:v>Indeterminate</x:v>
      </x:c>
      <x:c r="N43" s="27" t="str">
        <x:f>IF(AND(F43&lt;=0,G43&gt;=0),"CI crosses zero",IF(E43&gt;0,"NNH","NNTB"))</x:f>
        <x:v>CI crosses zero</x:v>
      </x:c>
    </x:row>
    <x:row r="44">
      <x:c r="A44" s="50" t="str">
        <x:v>6.2</x:v>
      </x:c>
      <x:c r="B44" s="50" t="str">
        <x:v>Mortality at 24 months</x:v>
      </x:c>
      <x:c r="C44" s="50" t="str">
        <x:v>Crenezumab</x:v>
      </x:c>
      <x:c r="D44" s="59" t="n">
        <x:v>1</x:v>
      </x:c>
      <x:c r="E44" s="65" t="n">
        <x:v>0.007456301185674124</x:v>
      </x:c>
      <x:c r="F44" s="65" t="n">
        <x:v>-0.009870382949042234</x:v>
      </x:c>
      <x:c r="G44" s="65" t="n">
        <x:v>0.02478298532039048</x:v>
      </x:c>
      <x:c r="H44" s="59" t="n">
        <x:v>8</x:v>
      </x:c>
      <x:c r="I44" s="59" t="n">
        <x:v>404</x:v>
      </x:c>
      <x:c r="J44" s="59" t="n">
        <x:v>5</x:v>
      </x:c>
      <x:c r="K44" s="59" t="n">
        <x:v>405</x:v>
      </x:c>
      <x:c r="L44" s="75" t="n">
        <x:f>E44*1000</x:f>
        <x:v>7.456301185674124</x:v>
      </x:c>
      <x:c r="M44" s="75" t="str">
        <x:f>IF(AND(F44&lt;=0,G44&gt;=0),"Indeterminate",1/ABS(E44))</x:f>
        <x:v>Indeterminate</x:v>
      </x:c>
      <x:c r="N44" s="27" t="str">
        <x:f>IF(AND(F44&lt;=0,G44&gt;=0),"CI crosses zero",IF(E44&gt;0,"NNH","NNTB"))</x:f>
        <x:v>CI crosses zero</x:v>
      </x:c>
    </x:row>
    <x:row r="45">
      <x:c r="A45" s="50" t="str">
        <x:v>6.2</x:v>
      </x:c>
      <x:c r="B45" s="50" t="str">
        <x:v>Mortality at 24 months</x:v>
      </x:c>
      <x:c r="C45" s="50" t="str">
        <x:v>Gantenerumab</x:v>
      </x:c>
      <x:c r="D45" s="59" t="n">
        <x:v>2</x:v>
      </x:c>
      <x:c r="E45" s="65" t="n">
        <x:v>-0.008585676810036882</x:v>
      </x:c>
      <x:c r="F45" s="65" t="n">
        <x:v>-0.02445872307968648</x:v>
      </x:c>
      <x:c r="G45" s="65" t="n">
        <x:v>0.007287369459612714</x:v>
      </x:c>
      <x:c r="H45" s="59" t="n">
        <x:v>5</x:v>
      </x:c>
      <x:c r="I45" s="59" t="n">
        <x:v>452</x:v>
      </x:c>
      <x:c r="J45" s="59" t="n">
        <x:v>9</x:v>
      </x:c>
      <x:c r="K45" s="59" t="n">
        <x:v>461</x:v>
      </x:c>
      <x:c r="L45" s="75" t="n">
        <x:f>E45*1000</x:f>
        <x:v>-8.585676810036881</x:v>
      </x:c>
      <x:c r="M45" s="75" t="str">
        <x:f>IF(AND(F45&lt;=0,G45&gt;=0),"Indeterminate",1/ABS(E45))</x:f>
        <x:v>Indeterminate</x:v>
      </x:c>
      <x:c r="N45" s="27" t="str">
        <x:f>IF(AND(F45&lt;=0,G45&gt;=0),"CI crosses zero",IF(E45&gt;0,"NNH","NNTB"))</x:f>
        <x:v>CI crosses zero</x:v>
      </x:c>
    </x:row>
    <x:row r="46">
      <x:c r="A46" s="50" t="str">
        <x:v>6.3</x:v>
      </x:c>
      <x:c r="B46" s="50" t="str">
        <x:v>Mortality above 24 months</x:v>
      </x:c>
      <x:c r="C46" s="50" t="str">
        <x:v>Gantenerumab</x:v>
      </x:c>
      <x:c r="D46" s="59" t="n">
        <x:v>2</x:v>
      </x:c>
      <x:c r="E46" s="65" t="n">
        <x:v>-0.004426268796891068</x:v>
      </x:c>
      <x:c r="F46" s="65" t="n">
        <x:v>-0.02437310404012289</x:v>
      </x:c>
      <x:c r="G46" s="65" t="n">
        <x:v>0.01552056644634076</x:v>
      </x:c>
      <x:c r="H46" s="59" t="n">
        <x:v>10</x:v>
      </x:c>
      <x:c r="I46" s="59" t="n">
        <x:v>1004</x:v>
      </x:c>
      <x:c r="J46" s="59" t="n">
        <x:v>14</x:v>
      </x:c>
      <x:c r="K46" s="59" t="n">
        <x:v>955</x:v>
      </x:c>
      <x:c r="L46" s="75" t="n">
        <x:f>E46*1000</x:f>
        <x:v>-4.426268796891067</x:v>
      </x:c>
      <x:c r="M46" s="75" t="str">
        <x:f>IF(AND(F46&lt;=0,G46&gt;=0),"Indeterminate",1/ABS(E46))</x:f>
        <x:v>Indeterminate</x:v>
      </x:c>
      <x:c r="N46" s="27" t="str">
        <x:f>IF(AND(F46&lt;=0,G46&gt;=0),"CI crosses zero",IF(E46&gt;0,"NNH","NNTB"))</x:f>
        <x:v>CI crosses zero</x:v>
      </x:c>
    </x:row>
    <x:row r="47">
      <x:c r="A47" s="50" t="str">
        <x:v>8.1</x:v>
      </x:c>
      <x:c r="B47" s="50" t="str">
        <x:v>Infusion reaction at 18 months</x:v>
      </x:c>
      <x:c r="C47" s="50" t="str">
        <x:v>Crenezumab</x:v>
      </x:c>
      <x:c r="D47" s="59" t="n">
        <x:v>1</x:v>
      </x:c>
      <x:c r="E47" s="65" t="n">
        <x:v>-0.01848350664212151</x:v>
      </x:c>
      <x:c r="F47" s="65" t="n">
        <x:v>-0.05347685611252929</x:v>
      </x:c>
      <x:c r="G47" s="65" t="n">
        <x:v>0.01650984282828628</x:v>
      </x:c>
      <x:c r="H47" s="59" t="n">
        <x:v>24</x:v>
      </x:c>
      <x:c r="I47" s="59" t="n">
        <x:v>404</x:v>
      </x:c>
      <x:c r="J47" s="59" t="n">
        <x:v>31</x:v>
      </x:c>
      <x:c r="K47" s="59" t="n">
        <x:v>398</x:v>
      </x:c>
      <x:c r="L47" s="75" t="n">
        <x:f>E47*1000</x:f>
        <x:v>-18.483506642121508</x:v>
      </x:c>
      <x:c r="M47" s="75" t="str">
        <x:f>IF(AND(F47&lt;=0,G47&gt;=0),"Indeterminate",1/ABS(E47))</x:f>
        <x:v>Indeterminate</x:v>
      </x:c>
      <x:c r="N47" s="27" t="str">
        <x:f>IF(AND(F47&lt;=0,G47&gt;=0),"CI crosses zero",IF(E47&gt;0,"NNH","NNTB"))</x:f>
        <x:v>CI crosses zero</x:v>
      </x:c>
    </x:row>
    <x:row r="48">
      <x:c r="A48" s="50" t="str">
        <x:v>8.1</x:v>
      </x:c>
      <x:c r="B48" s="50" t="str">
        <x:v>Infusion reaction at 18 months</x:v>
      </x:c>
      <x:c r="C48" s="50" t="str">
        <x:v>Donanemab</x:v>
      </x:c>
      <x:c r="D48" s="59" t="n">
        <x:v>1</x:v>
      </x:c>
      <x:c r="E48" s="65" t="n">
        <x:v>0.08217597871021914</x:v>
      </x:c>
      <x:c r="F48" s="65" t="n">
        <x:v>0.06276417439608505</x:v>
      </x:c>
      <x:c r="G48" s="65" t="n">
        <x:v>0.1015877830243532</x:v>
      </x:c>
      <x:c r="H48" s="59" t="n">
        <x:v>74</x:v>
      </x:c>
      <x:c r="I48" s="59" t="n">
        <x:v>853</x:v>
      </x:c>
      <x:c r="J48" s="59" t="n">
        <x:v>4</x:v>
      </x:c>
      <x:c r="K48" s="59" t="n">
        <x:v>874</x:v>
      </x:c>
      <x:c r="L48" s="75" t="n">
        <x:f>E48*1000</x:f>
        <x:v>82.17597871021914</x:v>
      </x:c>
      <x:c r="M48" s="75" t="n">
        <x:f>IF(AND(F48&lt;=0,G48&gt;=0),"Indeterminate",1/ABS(E48))</x:f>
        <x:v>12.16900626795508</x:v>
      </x:c>
      <x:c r="N48" s="27" t="str">
        <x:f>IF(AND(F48&lt;=0,G48&gt;=0),"CI crosses zero",IF(E48&gt;0,"NNH","NNTB"))</x:f>
        <x:v>NNH</x:v>
      </x:c>
    </x:row>
    <x:row r="49">
      <x:c r="A49" s="50" t="str">
        <x:v>8.1</x:v>
      </x:c>
      <x:c r="B49" s="50" t="str">
        <x:v>Infusion reaction at 18 months</x:v>
      </x:c>
      <x:c r="C49" s="50" t="str">
        <x:v>Lecanemab</x:v>
      </x:c>
      <x:c r="D49" s="59" t="n">
        <x:v>1</x:v>
      </x:c>
      <x:c r="E49" s="65" t="n">
        <x:v>0.1903412265085548</x:v>
      </x:c>
      <x:c r="F49" s="65" t="n">
        <x:v>0.1568307728916579</x:v>
      </x:c>
      <x:c r="G49" s="65" t="n">
        <x:v>0.2238516801254518</x:v>
      </x:c>
      <x:c r="H49" s="59" t="n">
        <x:v>237</x:v>
      </x:c>
      <x:c r="I49" s="59" t="n">
        <x:v>898</x:v>
      </x:c>
      <x:c r="J49" s="59" t="n">
        <x:v>66</x:v>
      </x:c>
      <x:c r="K49" s="59" t="n">
        <x:v>897</x:v>
      </x:c>
      <x:c r="L49" s="75" t="n">
        <x:f>E49*1000</x:f>
        <x:v>190.34122650855483</x:v>
      </x:c>
      <x:c r="M49" s="75" t="n">
        <x:f>IF(AND(F49&lt;=0,G49&gt;=0),"Indeterminate",1/ABS(E49))</x:f>
        <x:v>5.253722582033774</x:v>
      </x:c>
      <x:c r="N49" s="27" t="str">
        <x:f>IF(AND(F49&lt;=0,G49&gt;=0),"CI crosses zero",IF(E49&gt;0,"NNH","NNTB"))</x:f>
        <x:v>NNH</x:v>
      </x:c>
    </x:row>
    <x:row r="50">
      <x:c r="A50" s="50" t="str">
        <x:v>8.2</x:v>
      </x:c>
      <x:c r="B50" s="50" t="str">
        <x:v>Infusion reaction at 24 months</x:v>
      </x:c>
      <x:c r="C50" s="50" t="str">
        <x:v>Crenezumab</x:v>
      </x:c>
      <x:c r="D50" s="59" t="n">
        <x:v>1</x:v>
      </x:c>
      <x:c r="E50" s="65" t="n">
        <x:v>0.01510206576213177</x:v>
      </x:c>
      <x:c r="F50" s="65" t="n">
        <x:v>-0.02779914846070776</x:v>
      </x:c>
      <x:c r="G50" s="65" t="n">
        <x:v>0.0580032799849713</x:v>
      </x:c>
      <x:c r="H50" s="59" t="n">
        <x:v>47</x:v>
      </x:c>
      <x:c r="I50" s="59" t="n">
        <x:v>404</x:v>
      </x:c>
      <x:c r="J50" s="59" t="n">
        <x:v>41</x:v>
      </x:c>
      <x:c r="K50" s="59" t="n">
        <x:v>405</x:v>
      </x:c>
      <x:c r="L50" s="75" t="n">
        <x:f>E50*1000</x:f>
        <x:v>15.10206576213177</x:v>
      </x:c>
      <x:c r="M50" s="75" t="str">
        <x:f>IF(AND(F50&lt;=0,G50&gt;=0),"Indeterminate",1/ABS(E50))</x:f>
        <x:v>Indeterminate</x:v>
      </x:c>
      <x:c r="N50" s="27" t="str">
        <x:f>IF(AND(F50&lt;=0,G50&gt;=0),"CI crosses zero",IF(E50&gt;0,"NNH","NNTB"))</x:f>
        <x:v>CI crosses zero</x:v>
      </x:c>
    </x:row>
    <x:row r="51">
      <x:c r="A51" s="50" t="str">
        <x:v>9.1</x:v>
      </x:c>
      <x:c r="B51" s="50" t="str">
        <x:v>Study discontinuation at 18 months</x:v>
      </x:c>
      <x:c r="C51" s="50" t="str">
        <x:v>Aducanumab</x:v>
      </x:c>
      <x:c r="D51" s="59" t="n">
        <x:v>2</x:v>
      </x:c>
      <x:c r="E51" s="65" t="n">
        <x:v>0.02828670422288841</x:v>
      </x:c>
      <x:c r="F51" s="65" t="n">
        <x:v>0.005256428041516183</x:v>
      </x:c>
      <x:c r="G51" s="65" t="n">
        <x:v>0.05131698040426064</x:v>
      </x:c>
      <x:c r="H51" s="59" t="n">
        <x:v>294</x:v>
      </x:c>
      <x:c r="I51" s="59" t="n">
        <x:v>2199</x:v>
      </x:c>
      <x:c r="J51" s="59" t="n">
        <x:v>116</x:v>
      </x:c>
      <x:c r="K51" s="59" t="n">
        <x:v>1097</x:v>
      </x:c>
      <x:c r="L51" s="75" t="n">
        <x:f>E51*1000</x:f>
        <x:v>28.286704222888407</x:v>
      </x:c>
      <x:c r="M51" s="75" t="n">
        <x:f>IF(AND(F51&lt;=0,G51&gt;=0),"Indeterminate",1/ABS(E51))</x:f>
        <x:v>35.35229810162338</x:v>
      </x:c>
      <x:c r="N51" s="27" t="str">
        <x:f>IF(AND(F51&lt;=0,G51&gt;=0),"CI crosses zero",IF(E51&gt;0,"NNH","NNTB"))</x:f>
        <x:v>NNH</x:v>
      </x:c>
    </x:row>
    <x:row r="52">
      <x:c r="A52" s="50" t="str">
        <x:v>9.1</x:v>
      </x:c>
      <x:c r="B52" s="50" t="str">
        <x:v>Study discontinuation at 18 months</x:v>
      </x:c>
      <x:c r="C52" s="50" t="str">
        <x:v>Bapineuzumab</x:v>
      </x:c>
      <x:c r="D52" s="59" t="n">
        <x:v>4</x:v>
      </x:c>
      <x:c r="E52" s="65" t="n">
        <x:v>0.02879901356946186</x:v>
      </x:c>
      <x:c r="F52" s="65" t="n">
        <x:v>-0.01988535434055415</x:v>
      </x:c>
      <x:c r="G52" s="65" t="n">
        <x:v>0.07748338147947788</x:v>
      </x:c>
      <x:c r="H52" s="59" t="n">
        <x:v>830</x:v>
      </x:c>
      <x:c r="I52" s="59" t="n">
        <x:v>2266</x:v>
      </x:c>
      <x:c r="J52" s="59" t="n">
        <x:v>638</x:v>
      </x:c>
      <x:c r="K52" s="59" t="n">
        <x:v>1759</x:v>
      </x:c>
      <x:c r="L52" s="75" t="n">
        <x:f>E52*1000</x:f>
        <x:v>28.799013569461863</x:v>
      </x:c>
      <x:c r="M52" s="75" t="str">
        <x:f>IF(AND(F52&lt;=0,G52&gt;=0),"Indeterminate",1/ABS(E52))</x:f>
        <x:v>Indeterminate</x:v>
      </x:c>
      <x:c r="N52" s="27" t="str">
        <x:f>IF(AND(F52&lt;=0,G52&gt;=0),"CI crosses zero",IF(E52&gt;0,"NNH","NNTB"))</x:f>
        <x:v>CI crosses zero</x:v>
      </x:c>
    </x:row>
    <x:row r="53">
      <x:c r="A53" s="50" t="str">
        <x:v>9.1</x:v>
      </x:c>
      <x:c r="B53" s="50" t="str">
        <x:v>Study discontinuation at 18 months</x:v>
      </x:c>
      <x:c r="C53" s="50" t="str">
        <x:v>Crenezumab</x:v>
      </x:c>
      <x:c r="D53" s="59" t="n">
        <x:v>1</x:v>
      </x:c>
      <x:c r="E53" s="65" t="n">
        <x:v>0.02540134119081489</x:v>
      </x:c>
      <x:c r="F53" s="65" t="n">
        <x:v>-0.01510155306983394</x:v>
      </x:c>
      <x:c r="G53" s="65" t="n">
        <x:v>0.0659042354514637</x:v>
      </x:c>
      <x:c r="H53" s="59" t="n">
        <x:v>44</x:v>
      </x:c>
      <x:c r="I53" s="59" t="n">
        <x:v>407</x:v>
      </x:c>
      <x:c r="J53" s="59" t="n">
        <x:v>33</x:v>
      </x:c>
      <x:c r="K53" s="59" t="n">
        <x:v>399</x:v>
      </x:c>
      <x:c r="L53" s="75" t="n">
        <x:f>E53*1000</x:f>
        <x:v>25.40134119081489</x:v>
      </x:c>
      <x:c r="M53" s="75" t="str">
        <x:f>IF(AND(F53&lt;=0,G53&gt;=0),"Indeterminate",1/ABS(E53))</x:f>
        <x:v>Indeterminate</x:v>
      </x:c>
      <x:c r="N53" s="27" t="str">
        <x:f>IF(AND(F53&lt;=0,G53&gt;=0),"CI crosses zero",IF(E53&gt;0,"NNH","NNTB"))</x:f>
        <x:v>CI crosses zero</x:v>
      </x:c>
    </x:row>
    <x:row r="54">
      <x:c r="A54" s="50" t="str">
        <x:v>9.1</x:v>
      </x:c>
      <x:c r="B54" s="50" t="str">
        <x:v>Study discontinuation at 18 months</x:v>
      </x:c>
      <x:c r="C54" s="50" t="str">
        <x:v>Donanemab</x:v>
      </x:c>
      <x:c r="D54" s="59" t="n">
        <x:v>1</x:v>
      </x:c>
      <x:c r="E54" s="65" t="n">
        <x:v>0.07111606668790485</x:v>
      </x:c>
      <x:c r="F54" s="65" t="n">
        <x:v>0.03146088074495607</x:v>
      </x:c>
      <x:c r="G54" s="65" t="n">
        <x:v>0.1107712526308536</x:v>
      </x:c>
      <x:c r="H54" s="59" t="n">
        <x:v>231</x:v>
      </x:c>
      <x:c r="I54" s="59" t="n">
        <x:v>860</x:v>
      </x:c>
      <x:c r="J54" s="59" t="n">
        <x:v>173</x:v>
      </x:c>
      <x:c r="K54" s="59" t="n">
        <x:v>876</x:v>
      </x:c>
      <x:c r="L54" s="75" t="n">
        <x:f>E54*1000</x:f>
        <x:v>71.11606668790485</x:v>
      </x:c>
      <x:c r="M54" s="75" t="n">
        <x:f>IF(AND(F54&lt;=0,G54&gt;=0),"Indeterminate",1/ABS(E54))</x:f>
        <x:v>14.061520083619532</x:v>
      </x:c>
      <x:c r="N54" s="27" t="str">
        <x:f>IF(AND(F54&lt;=0,G54&gt;=0),"CI crosses zero",IF(E54&gt;0,"NNH","NNTB"))</x:f>
        <x:v>NNH</x:v>
      </x:c>
    </x:row>
    <x:row r="55">
      <x:c r="A55" s="50" t="str">
        <x:v>9.1</x:v>
      </x:c>
      <x:c r="B55" s="50" t="str">
        <x:v>Study discontinuation at 18 months</x:v>
      </x:c>
      <x:c r="C55" s="50" t="str">
        <x:v>Lecanemab</x:v>
      </x:c>
      <x:c r="D55" s="59" t="n">
        <x:v>1</x:v>
      </x:c>
      <x:c r="E55" s="65" t="n">
        <x:v>0.03212018284159274</x:v>
      </x:c>
      <x:c r="F55" s="65" t="n">
        <x:v>-0.002774466826937369</x:v>
      </x:c>
      <x:c r="G55" s="65" t="n">
        <x:v>0.06701483251012284</x:v>
      </x:c>
      <x:c r="H55" s="59" t="n">
        <x:v>169</x:v>
      </x:c>
      <x:c r="I55" s="59" t="n">
        <x:v>898</x:v>
      </x:c>
      <x:c r="J55" s="59" t="n">
        <x:v>140</x:v>
      </x:c>
      <x:c r="K55" s="59" t="n">
        <x:v>897</x:v>
      </x:c>
      <x:c r="L55" s="75" t="n">
        <x:f>E55*1000</x:f>
        <x:v>32.12018284159274</x:v>
      </x:c>
      <x:c r="M55" s="75" t="str">
        <x:f>IF(AND(F55&lt;=0,G55&gt;=0),"Indeterminate",1/ABS(E55))</x:f>
        <x:v>Indeterminate</x:v>
      </x:c>
      <x:c r="N55" s="27" t="str">
        <x:f>IF(AND(F55&lt;=0,G55&gt;=0),"CI crosses zero",IF(E55&gt;0,"NNH","NNTB"))</x:f>
        <x:v>CI crosses zero</x:v>
      </x:c>
    </x:row>
    <x:row r="56">
      <x:c r="A56" s="50" t="str">
        <x:v>9.1</x:v>
      </x:c>
      <x:c r="B56" s="50" t="str">
        <x:v>Study discontinuation at 18 months</x:v>
      </x:c>
      <x:c r="C56" s="50" t="str">
        <x:v>Solanezumab</x:v>
      </x:c>
      <x:c r="D56" s="59" t="n">
        <x:v>2</x:v>
      </x:c>
      <x:c r="E56" s="65" t="n">
        <x:v>-0.009648710015905735</x:v>
      </x:c>
      <x:c r="F56" s="65" t="n">
        <x:v>-0.03444555509985428</x:v>
      </x:c>
      <x:c r="G56" s="65" t="n">
        <x:v>0.01514813506804281</x:v>
      </x:c>
      <x:c r="H56" s="59" t="n">
        <x:v>289</x:v>
      </x:c>
      <x:c r="I56" s="59" t="n">
        <x:v>1713</x:v>
      </x:c>
      <x:c r="J56" s="59" t="n">
        <x:v>306</x:v>
      </x:c>
      <x:c r="K56" s="59" t="n">
        <x:v>1735</x:v>
      </x:c>
      <x:c r="L56" s="75" t="n">
        <x:f>E56*1000</x:f>
        <x:v>-9.648710015905735</x:v>
      </x:c>
      <x:c r="M56" s="75" t="str">
        <x:f>IF(AND(F56&lt;=0,G56&gt;=0),"Indeterminate",1/ABS(E56))</x:f>
        <x:v>Indeterminate</x:v>
      </x:c>
      <x:c r="N56" s="27" t="str">
        <x:f>IF(AND(F56&lt;=0,G56&gt;=0),"CI crosses zero",IF(E56&gt;0,"NNH","NNTB"))</x:f>
        <x:v>CI crosses zero</x:v>
      </x:c>
    </x:row>
    <x:row r="57">
      <x:c r="A57" s="50" t="str">
        <x:v>9.2</x:v>
      </x:c>
      <x:c r="B57" s="50" t="str">
        <x:v>Study discontinuation at 24 months</x:v>
      </x:c>
      <x:c r="C57" s="50" t="str">
        <x:v>Crenezumab</x:v>
      </x:c>
      <x:c r="D57" s="59" t="n">
        <x:v>1</x:v>
      </x:c>
      <x:c r="E57" s="65" t="n">
        <x:v>0.004762884601418604</x:v>
      </x:c>
      <x:c r="F57" s="65" t="n">
        <x:v>-0.05150160119868374</x:v>
      </x:c>
      <x:c r="G57" s="65" t="n">
        <x:v>0.06102737040152095</x:v>
      </x:c>
      <x:c r="H57" s="59" t="n">
        <x:v>319</x:v>
      </x:c>
      <x:c r="I57" s="59" t="n">
        <x:v>404</x:v>
      </x:c>
      <x:c r="J57" s="59" t="n">
        <x:v>321</x:v>
      </x:c>
      <x:c r="K57" s="59" t="n">
        <x:v>409</x:v>
      </x:c>
      <x:c r="L57" s="75" t="n">
        <x:f>E57*1000</x:f>
        <x:v>4.762884601418604</x:v>
      </x:c>
      <x:c r="M57" s="75" t="str">
        <x:f>IF(AND(F57&lt;=0,G57&gt;=0),"Indeterminate",1/ABS(E57))</x:f>
        <x:v>Indeterminate</x:v>
      </x:c>
      <x:c r="N57" s="27" t="str">
        <x:f>IF(AND(F57&lt;=0,G57&gt;=0),"CI crosses zero",IF(E57&gt;0,"NNH","NNTB"))</x:f>
        <x:v>CI crosses zero</x:v>
      </x:c>
    </x:row>
    <x:row r="58">
      <x:c r="A58" s="50" t="str">
        <x:v>9.2</x:v>
      </x:c>
      <x:c r="B58" s="50" t="str">
        <x:v>Study discontinuation at 24 months</x:v>
      </x:c>
      <x:c r="C58" s="50" t="str">
        <x:v>Gantenerumab</x:v>
      </x:c>
      <x:c r="D58" s="59" t="n">
        <x:v>1</x:v>
      </x:c>
      <x:c r="E58" s="65" t="n">
        <x:v>0.01350491613649507</x:v>
      </x:c>
      <x:c r="F58" s="65" t="n">
        <x:v>-0.06133996031502574</x:v>
      </x:c>
      <x:c r="G58" s="65" t="n">
        <x:v>0.08834979258801588</x:v>
      </x:c>
      <x:c r="H58" s="59" t="n">
        <x:v>69</x:v>
      </x:c>
      <x:c r="I58" s="59" t="n">
        <x:v>260</x:v>
      </x:c>
      <x:c r="J58" s="59" t="n">
        <x:v>67</x:v>
      </x:c>
      <x:c r="K58" s="59" t="n">
        <x:v>266</x:v>
      </x:c>
      <x:c r="L58" s="75" t="n">
        <x:f>E58*1000</x:f>
        <x:v>13.50491613649507</x:v>
      </x:c>
      <x:c r="M58" s="75" t="str">
        <x:f>IF(AND(F58&lt;=0,G58&gt;=0),"Indeterminate",1/ABS(E58))</x:f>
        <x:v>Indeterminate</x:v>
      </x:c>
      <x:c r="N58" s="27" t="str">
        <x:f>IF(AND(F58&lt;=0,G58&gt;=0),"CI crosses zero",IF(E58&gt;0,"NNH","NNTB"))</x:f>
        <x:v>CI crosses zero</x:v>
      </x:c>
    </x:row>
    <x:row r="59">
      <x:c r="A59" s="51" t="str">
        <x:v>9.3</x:v>
      </x:c>
      <x:c r="B59" s="51" t="str">
        <x:v>Study discontinuation above 24 months</x:v>
      </x:c>
      <x:c r="C59" s="51" t="str">
        <x:v>Gantenerumab</x:v>
      </x:c>
      <x:c r="D59" s="60" t="n">
        <x:v>2</x:v>
      </x:c>
      <x:c r="E59" s="66" t="n">
        <x:v>0.06631046012108041</x:v>
      </x:c>
      <x:c r="F59" s="66" t="n">
        <x:v>0.02823633275724792</x:v>
      </x:c>
      <x:c r="G59" s="66" t="n">
        <x:v>0.1043845874849129</x:v>
      </x:c>
      <x:c r="H59" s="60" t="n">
        <x:v>250</x:v>
      </x:c>
      <x:c r="I59" s="60" t="n">
        <x:v>997</x:v>
      </x:c>
      <x:c r="J59" s="60" t="n">
        <x:v>178</x:v>
      </x:c>
      <x:c r="K59" s="60" t="n">
        <x:v>962</x:v>
      </x:c>
      <x:c r="L59" s="76" t="n">
        <x:f>E59*1000</x:f>
        <x:v>66.31046012108041</x:v>
      </x:c>
      <x:c r="M59" s="76" t="n">
        <x:f>IF(AND(F59&lt;=0,G59&gt;=0),"Indeterminate",1/ABS(E59))</x:f>
        <x:v>15.08057700359849</x:v>
      </x:c>
      <x:c r="N59" s="28" t="str">
        <x:f>IF(AND(F59&lt;=0,G59&gt;=0),"CI crosses zero",IF(E59&gt;0,"NNH","NNTB"))</x:f>
        <x:v>NNH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221f5a79aa448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Trial-termination sensitivities</x:v>
      </x:c>
    </x:row>
    <x:row r="2" ht="32" customHeight="1">
      <x:c r="A2" s="7" t="str">
        <x:v>Class pool compared with exclusions based on Cochrane-reported termination reasons.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Scenario</x:v>
      </x:c>
      <x:c r="E4" s="40" t="str">
        <x:v>k</x:v>
      </x:c>
      <x:c r="F4" s="40" t="str">
        <x:v>Estimate</x:v>
      </x:c>
      <x:c r="G4" s="40" t="str">
        <x:v>CI low</x:v>
      </x:c>
      <x:c r="H4" s="40" t="str">
        <x:v>CI high</x:v>
      </x:c>
      <x:c r="I4" s="40" t="str">
        <x:v>P</x:v>
      </x:c>
      <x:c r="J4" s="41" t="str">
        <x:v>I² (%)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49" t="str">
        <x:v>Cochrane class pool</x:v>
      </x:c>
      <x:c r="E5" s="58" t="n">
        <x:v>13</x:v>
      </x:c>
      <x:c r="F5" s="61" t="n">
        <x:v>-0.1106444847509942</x:v>
      </x:c>
      <x:c r="G5" s="61" t="n">
        <x:v>-0.1595158023712508</x:v>
      </x:c>
      <x:c r="H5" s="61" t="n">
        <x:v>-0.06177316713073767</x:v>
      </x:c>
      <x:c r="I5" s="64" t="n">
        <x:v>0.0003462430516350157</x:v>
      </x:c>
      <x:c r="J5" s="55" t="n">
        <x:v>10.063043484523792</x:v>
      </x:c>
    </x:row>
    <x:row r="6">
      <x:c r="A6" s="50" t="str">
        <x:v>1.1</x:v>
      </x:c>
      <x:c r="B6" s="50" t="str">
        <x:v>ADAS-Cog scale at 18 months</x:v>
      </x:c>
      <x:c r="C6" s="50" t="str">
        <x:v>SMD</x:v>
      </x:c>
      <x:c r="D6" s="50" t="str">
        <x:v>Exclude futility-terminated trials</x:v>
      </x:c>
      <x:c r="E6" s="59" t="n">
        <x:v>9</x:v>
      </x:c>
      <x:c r="F6" s="62" t="n">
        <x:v>-0.1088603147805152</x:v>
      </x:c>
      <x:c r="G6" s="62" t="n">
        <x:v>-0.1724161149745134</x:v>
      </x:c>
      <x:c r="H6" s="62" t="n">
        <x:v>-0.04530451458651708</x:v>
      </x:c>
      <x:c r="I6" s="65" t="n">
        <x:v>0.004237240755579472</x:v>
      </x:c>
      <x:c r="J6" s="56" t="n">
        <x:v>18.238496513234377</x:v>
      </x:c>
    </x:row>
    <x:row r="7">
      <x:c r="A7" s="50" t="str">
        <x:v>1.1</x:v>
      </x:c>
      <x:c r="B7" s="50" t="str">
        <x:v>ADAS-Cog scale at 18 months</x:v>
      </x:c>
      <x:c r="C7" s="50" t="str">
        <x:v>SMD</x:v>
      </x:c>
      <x:c r="D7" s="50" t="str">
        <x:v>Exclude all early-terminated trials</x:v>
      </x:c>
      <x:c r="E7" s="59" t="n">
        <x:v>6</x:v>
      </x:c>
      <x:c r="F7" s="62" t="n">
        <x:v>-0.123189156993947</x:v>
      </x:c>
      <x:c r="G7" s="62" t="n">
        <x:v>-0.1844824690970721</x:v>
      </x:c>
      <x:c r="H7" s="62" t="n">
        <x:v>-0.06189584489082196</x:v>
      </x:c>
      <x:c r="I7" s="65" t="n">
        <x:v>0.00356549656871519</x:v>
      </x:c>
      <x:c r="J7" s="56" t="n">
        <x:v>9.049494951911822</x:v>
      </x:c>
    </x:row>
    <x:row r="8">
      <x:c r="A8" s="50" t="str">
        <x:v>1.2</x:v>
      </x:c>
      <x:c r="B8" s="50" t="str">
        <x:v>ADAS-Cog scale at 24 months</x:v>
      </x:c>
      <x:c r="C8" s="50" t="str">
        <x:v>SMD</x:v>
      </x:c>
      <x:c r="D8" s="50" t="str">
        <x:v>Cochrane class pool</x:v>
      </x:c>
      <x:c r="E8" s="59" t="n">
        <x:v>2</x:v>
      </x:c>
      <x:c r="F8" s="62" t="n">
        <x:v>-0.2134511150771982</x:v>
      </x:c>
      <x:c r="G8" s="62" t="n">
        <x:v>-0.8099558948678978</x:v>
      </x:c>
      <x:c r="H8" s="62" t="n">
        <x:v>0.3830536647135014</x:v>
      </x:c>
      <x:c r="I8" s="65" t="n">
        <x:v>0.4830868444649154</x:v>
      </x:c>
      <x:c r="J8" s="56" t="n">
        <x:v>67.81723560627916</x:v>
      </x:c>
    </x:row>
    <x:row r="9">
      <x:c r="A9" s="50" t="str">
        <x:v>1.3</x:v>
      </x:c>
      <x:c r="B9" s="50" t="str">
        <x:v>ADAS-Cog scale above 24 months</x:v>
      </x:c>
      <x:c r="C9" s="50" t="str">
        <x:v>SMD</x:v>
      </x:c>
      <x:c r="D9" s="50" t="str">
        <x:v>Cochrane class pool</x:v>
      </x:c>
      <x:c r="E9" s="59" t="n">
        <x:v>2</x:v>
      </x:c>
      <x:c r="F9" s="62" t="n">
        <x:v>-0.1176549874200436</x:v>
      </x:c>
      <x:c r="G9" s="62" t="n">
        <x:v>-0.2063118610737351</x:v>
      </x:c>
      <x:c r="H9" s="62" t="n">
        <x:v>-0.02899811376635211</x:v>
      </x:c>
      <x:c r="I9" s="65" t="n">
        <x:v>0.009294325651543705</x:v>
      </x:c>
      <x:c r="J9" s="56" t="n">
        <x:v>0</x:v>
      </x:c>
    </x:row>
    <x:row r="10">
      <x:c r="A10" s="50" t="str">
        <x:v>1.3</x:v>
      </x:c>
      <x:c r="B10" s="50" t="str">
        <x:v>ADAS-Cog scale above 24 months</x:v>
      </x:c>
      <x:c r="C10" s="50" t="str">
        <x:v>SMD</x:v>
      </x:c>
      <x:c r="D10" s="50" t="str">
        <x:v>Exclude futility-terminated trials</x:v>
      </x:c>
      <x:c r="E10" s="59" t="n">
        <x:v>2</x:v>
      </x:c>
      <x:c r="F10" s="62" t="n">
        <x:v>-0.1176549874200436</x:v>
      </x:c>
      <x:c r="G10" s="62" t="n">
        <x:v>-0.2063118610737351</x:v>
      </x:c>
      <x:c r="H10" s="62" t="n">
        <x:v>-0.02899811376635211</x:v>
      </x:c>
      <x:c r="I10" s="65" t="n">
        <x:v>0.009294325651543705</x:v>
      </x:c>
      <x:c r="J10" s="56" t="n">
        <x:v>0</x:v>
      </x:c>
    </x:row>
    <x:row r="11">
      <x:c r="A11" s="50" t="str">
        <x:v>1.3</x:v>
      </x:c>
      <x:c r="B11" s="50" t="str">
        <x:v>ADAS-Cog scale above 24 months</x:v>
      </x:c>
      <x:c r="C11" s="50" t="str">
        <x:v>SMD</x:v>
      </x:c>
      <x:c r="D11" s="50" t="str">
        <x:v>Exclude all early-terminated trials</x:v>
      </x:c>
      <x:c r="E11" s="59" t="n">
        <x:v>2</x:v>
      </x:c>
      <x:c r="F11" s="62" t="n">
        <x:v>-0.1176549874200436</x:v>
      </x:c>
      <x:c r="G11" s="62" t="n">
        <x:v>-0.2063118610737351</x:v>
      </x:c>
      <x:c r="H11" s="62" t="n">
        <x:v>-0.02899811376635211</x:v>
      </x:c>
      <x:c r="I11" s="65" t="n">
        <x:v>0.009294325651543705</x:v>
      </x:c>
      <x:c r="J11" s="56" t="n">
        <x:v>0</x:v>
      </x:c>
    </x:row>
    <x:row r="12">
      <x:c r="A12" s="50" t="str">
        <x:v>1.4</x:v>
      </x:c>
      <x:c r="B12" s="50" t="str">
        <x:v>MMSE scale at 18 months</x:v>
      </x:c>
      <x:c r="C12" s="50" t="str">
        <x:v>SMD</x:v>
      </x:c>
      <x:c r="D12" s="50" t="str">
        <x:v>Cochrane class pool</x:v>
      </x:c>
      <x:c r="E12" s="59" t="n">
        <x:v>8</x:v>
      </x:c>
      <x:c r="F12" s="62" t="n">
        <x:v>0.1147957028524518</x:v>
      </x:c>
      <x:c r="G12" s="62" t="n">
        <x:v>0.04137632887883541</x:v>
      </x:c>
      <x:c r="H12" s="62" t="n">
        <x:v>0.1882150768260683</x:v>
      </x:c>
      <x:c r="I12" s="65" t="n">
        <x:v>0.007682938339376513</x:v>
      </x:c>
      <x:c r="J12" s="56" t="n">
        <x:v>0.03456161596481942</x:v>
      </x:c>
    </x:row>
    <x:row r="13">
      <x:c r="A13" s="50" t="str">
        <x:v>1.4</x:v>
      </x:c>
      <x:c r="B13" s="50" t="str">
        <x:v>MMSE scale at 18 months</x:v>
      </x:c>
      <x:c r="C13" s="50" t="str">
        <x:v>SMD</x:v>
      </x:c>
      <x:c r="D13" s="50" t="str">
        <x:v>Exclude futility-terminated trials</x:v>
      </x:c>
      <x:c r="E13" s="59" t="n">
        <x:v>4</x:v>
      </x:c>
      <x:c r="F13" s="62" t="n">
        <x:v>0.1306144166169892</x:v>
      </x:c>
      <x:c r="G13" s="62" t="n">
        <x:v>-0.002478040123503056</x:v>
      </x:c>
      <x:c r="H13" s="62" t="n">
        <x:v>0.2637068733574814</x:v>
      </x:c>
      <x:c r="I13" s="65" t="n">
        <x:v>0.05234148919797946</x:v>
      </x:c>
      <x:c r="J13" s="56" t="n">
        <x:v>0.05864594779000345</x:v>
      </x:c>
    </x:row>
    <x:row r="14">
      <x:c r="A14" s="50" t="str">
        <x:v>1.4</x:v>
      </x:c>
      <x:c r="B14" s="50" t="str">
        <x:v>MMSE scale at 18 months</x:v>
      </x:c>
      <x:c r="C14" s="50" t="str">
        <x:v>SMD</x:v>
      </x:c>
      <x:c r="D14" s="50" t="str">
        <x:v>Exclude all early-terminated trials</x:v>
      </x:c>
      <x:c r="E14" s="59" t="n">
        <x:v>3</x:v>
      </x:c>
      <x:c r="F14" s="62" t="n">
        <x:v>0.1291414668646893</x:v>
      </x:c>
      <x:c r="G14" s="62" t="n">
        <x:v>0.03943242780559797</x:v>
      </x:c>
      <x:c r="H14" s="62" t="n">
        <x:v>0.2188505059237807</x:v>
      </x:c>
      <x:c r="I14" s="65" t="n">
        <x:v>0.02508885791758672</x:v>
      </x:c>
      <x:c r="J14" s="56" t="n">
        <x:v>0</x:v>
      </x:c>
    </x:row>
    <x:row r="15">
      <x:c r="A15" s="50" t="str">
        <x:v>1.5</x:v>
      </x:c>
      <x:c r="B15" s="50" t="str">
        <x:v>MMSE scale at 24 months</x:v>
      </x:c>
      <x:c r="C15" s="50" t="str">
        <x:v>SMD</x:v>
      </x:c>
      <x:c r="D15" s="50" t="str">
        <x:v>Cochrane class pool</x:v>
      </x:c>
      <x:c r="E15" s="59" t="n">
        <x:v>2</x:v>
      </x:c>
      <x:c r="F15" s="62" t="n">
        <x:v>-0.04142837216421253</x:v>
      </x:c>
      <x:c r="G15" s="62" t="n">
        <x:v>-0.3070308965575572</x:v>
      </x:c>
      <x:c r="H15" s="62" t="n">
        <x:v>0.2241741522291322</x:v>
      </x:c>
      <x:c r="I15" s="65" t="n">
        <x:v>0.7598232522121195</x:v>
      </x:c>
      <x:c r="J15" s="56" t="n">
        <x:v>0</x:v>
      </x:c>
    </x:row>
    <x:row r="16">
      <x:c r="A16" s="50" t="str">
        <x:v>1.6</x:v>
      </x:c>
      <x:c r="B16" s="50" t="str">
        <x:v>ADAS-Cog 24 months mean difference</x:v>
      </x:c>
      <x:c r="C16" s="50" t="str">
        <x:v>MD</x:v>
      </x:c>
      <x:c r="D16" s="50" t="str">
        <x:v>Cochrane class pool</x:v>
      </x:c>
      <x:c r="E16" s="59" t="n">
        <x:v>2</x:v>
      </x:c>
      <x:c r="F16" s="62" t="n">
        <x:v>-1.405503778337532</x:v>
      </x:c>
      <x:c r="G16" s="62" t="n">
        <x:v>-5.245306413837063</x:v>
      </x:c>
      <x:c r="H16" s="62" t="n">
        <x:v>2.434298857161997</x:v>
      </x:c>
      <x:c r="I16" s="65" t="n">
        <x:v>0.4731172993008963</x:v>
      </x:c>
      <x:c r="J16" s="56" t="n">
        <x:v>68.82792226332252</x:v>
      </x:c>
    </x:row>
    <x:row r="17">
      <x:c r="A17" s="50" t="str">
        <x:v>2.1</x:v>
      </x:c>
      <x:c r="B17" s="50" t="str">
        <x:v>CDR-SB scale at 18 months</x:v>
      </x:c>
      <x:c r="C17" s="50" t="str">
        <x:v>SMD</x:v>
      </x:c>
      <x:c r="D17" s="50" t="str">
        <x:v>Cochrane class pool</x:v>
      </x:c>
      <x:c r="E17" s="59" t="n">
        <x:v>9</x:v>
      </x:c>
      <x:c r="F17" s="62" t="n">
        <x:v>-0.1236070445068449</x:v>
      </x:c>
      <x:c r="G17" s="62" t="n">
        <x:v>-0.2431373516407463</x:v>
      </x:c>
      <x:c r="H17" s="62" t="n">
        <x:v>-0.004076737372943423</x:v>
      </x:c>
      <x:c r="I17" s="65" t="n">
        <x:v>0.04422331763822821</x:v>
      </x:c>
      <x:c r="J17" s="56" t="n">
        <x:v>67.03272538449767</x:v>
      </x:c>
    </x:row>
    <x:row r="18">
      <x:c r="A18" s="50" t="str">
        <x:v>2.1</x:v>
      </x:c>
      <x:c r="B18" s="50" t="str">
        <x:v>CDR-SB scale at 18 months</x:v>
      </x:c>
      <x:c r="C18" s="50" t="str">
        <x:v>SMD</x:v>
      </x:c>
      <x:c r="D18" s="50" t="str">
        <x:v>Exclude futility-terminated trials</x:v>
      </x:c>
      <x:c r="E18" s="59" t="n">
        <x:v>5</x:v>
      </x:c>
      <x:c r="F18" s="62" t="n">
        <x:v>-0.1474594410149943</x:v>
      </x:c>
      <x:c r="G18" s="62" t="n">
        <x:v>-0.3136761693483492</x:v>
      </x:c>
      <x:c r="H18" s="62" t="n">
        <x:v>0.01875728731836065</x:v>
      </x:c>
      <x:c r="I18" s="65" t="n">
        <x:v>0.06945753489153396</x:v>
      </x:c>
      <x:c r="J18" s="56" t="n">
        <x:v>72.47974591794748</x:v>
      </x:c>
    </x:row>
    <x:row r="19">
      <x:c r="A19" s="50" t="str">
        <x:v>2.1</x:v>
      </x:c>
      <x:c r="B19" s="50" t="str">
        <x:v>CDR-SB scale at 18 months</x:v>
      </x:c>
      <x:c r="C19" s="50" t="str">
        <x:v>SMD</x:v>
      </x:c>
      <x:c r="D19" s="50" t="str">
        <x:v>Exclude all early-terminated trials</x:v>
      </x:c>
      <x:c r="E19" s="59" t="n">
        <x:v>4</x:v>
      </x:c>
      <x:c r="F19" s="62" t="n">
        <x:v>-0.1545497423519505</x:v>
      </x:c>
      <x:c r="G19" s="62" t="n">
        <x:v>-0.3261088822852904</x:v>
      </x:c>
      <x:c r="H19" s="62" t="n">
        <x:v>0.0170093975813895</x:v>
      </x:c>
      <x:c r="I19" s="65" t="n">
        <x:v>0.06421197569418487</x:v>
      </x:c>
      <x:c r="J19" s="56" t="n">
        <x:v>77.48342066272086</x:v>
      </x:c>
    </x:row>
    <x:row r="20">
      <x:c r="A20" s="50" t="str">
        <x:v>2.2</x:v>
      </x:c>
      <x:c r="B20" s="50" t="str">
        <x:v>CDR-SB scale at 24 months</x:v>
      </x:c>
      <x:c r="C20" s="50" t="str">
        <x:v>SMD</x:v>
      </x:c>
      <x:c r="D20" s="50" t="str">
        <x:v>Cochrane class pool</x:v>
      </x:c>
      <x:c r="E20" s="59" t="n">
        <x:v>2</x:v>
      </x:c>
      <x:c r="F20" s="62" t="n">
        <x:v>0.03154549881786917</x:v>
      </x:c>
      <x:c r="G20" s="62" t="n">
        <x:v>-0.2347697798861705</x:v>
      </x:c>
      <x:c r="H20" s="62" t="n">
        <x:v>0.2978607775219089</x:v>
      </x:c>
      <x:c r="I20" s="65" t="n">
        <x:v>0.8164129089891101</x:v>
      </x:c>
      <x:c r="J20" s="56" t="n">
        <x:v>0</x:v>
      </x:c>
    </x:row>
    <x:row r="21">
      <x:c r="A21" s="50" t="str">
        <x:v>2.3</x:v>
      </x:c>
      <x:c r="B21" s="50" t="str">
        <x:v>CDR-SB scale above 24 months</x:v>
      </x:c>
      <x:c r="C21" s="50" t="str">
        <x:v>SMD</x:v>
      </x:c>
      <x:c r="D21" s="50" t="str">
        <x:v>Cochrane class pool</x:v>
      </x:c>
      <x:c r="E21" s="59" t="n">
        <x:v>2</x:v>
      </x:c>
      <x:c r="F21" s="62" t="n">
        <x:v>-0.07010296517035751</x:v>
      </x:c>
      <x:c r="G21" s="62" t="n">
        <x:v>-0.1587119765097488</x:v>
      </x:c>
      <x:c r="H21" s="62" t="n">
        <x:v>0.01850604616903379</x:v>
      </x:c>
      <x:c r="I21" s="65" t="n">
        <x:v>0.1209917431904368</x:v>
      </x:c>
      <x:c r="J21" s="56" t="n">
        <x:v>0</x:v>
      </x:c>
    </x:row>
    <x:row r="22">
      <x:c r="A22" s="50" t="str">
        <x:v>2.3</x:v>
      </x:c>
      <x:c r="B22" s="50" t="str">
        <x:v>CDR-SB scale above 24 months</x:v>
      </x:c>
      <x:c r="C22" s="50" t="str">
        <x:v>SMD</x:v>
      </x:c>
      <x:c r="D22" s="50" t="str">
        <x:v>Exclude futility-terminated trials</x:v>
      </x:c>
      <x:c r="E22" s="59" t="n">
        <x:v>2</x:v>
      </x:c>
      <x:c r="F22" s="62" t="n">
        <x:v>-0.07010296517035751</x:v>
      </x:c>
      <x:c r="G22" s="62" t="n">
        <x:v>-0.1587119765097488</x:v>
      </x:c>
      <x:c r="H22" s="62" t="n">
        <x:v>0.01850604616903379</x:v>
      </x:c>
      <x:c r="I22" s="65" t="n">
        <x:v>0.1209917431904368</x:v>
      </x:c>
      <x:c r="J22" s="56" t="n">
        <x:v>0</x:v>
      </x:c>
    </x:row>
    <x:row r="23">
      <x:c r="A23" s="50" t="str">
        <x:v>2.3</x:v>
      </x:c>
      <x:c r="B23" s="50" t="str">
        <x:v>CDR-SB scale above 24 months</x:v>
      </x:c>
      <x:c r="C23" s="50" t="str">
        <x:v>SMD</x:v>
      </x:c>
      <x:c r="D23" s="50" t="str">
        <x:v>Exclude all early-terminated trials</x:v>
      </x:c>
      <x:c r="E23" s="59" t="n">
        <x:v>2</x:v>
      </x:c>
      <x:c r="F23" s="62" t="n">
        <x:v>-0.07010296517035751</x:v>
      </x:c>
      <x:c r="G23" s="62" t="n">
        <x:v>-0.1587119765097488</x:v>
      </x:c>
      <x:c r="H23" s="62" t="n">
        <x:v>0.01850604616903379</x:v>
      </x:c>
      <x:c r="I23" s="65" t="n">
        <x:v>0.1209917431904368</x:v>
      </x:c>
      <x:c r="J23" s="56" t="n">
        <x:v>0</x:v>
      </x:c>
    </x:row>
    <x:row r="24">
      <x:c r="A24" s="50" t="str">
        <x:v>2.4</x:v>
      </x:c>
      <x:c r="B24" s="50" t="str">
        <x:v>CDR-SB 24 months mean difference</x:v>
      </x:c>
      <x:c r="C24" s="50" t="str">
        <x:v>MD</x:v>
      </x:c>
      <x:c r="D24" s="50" t="str">
        <x:v>Cochrane class pool</x:v>
      </x:c>
      <x:c r="E24" s="59" t="n">
        <x:v>2</x:v>
      </x:c>
      <x:c r="F24" s="62" t="n">
        <x:v>0.03187919463087242</x:v>
      </x:c>
      <x:c r="G24" s="62" t="n">
        <x:v>-0.6425001302343454</x:v>
      </x:c>
      <x:c r="H24" s="62" t="n">
        <x:v>0.7062585194960902</x:v>
      </x:c>
      <x:c r="I24" s="65" t="n">
        <x:v>0.9261806438041792</x:v>
      </x:c>
      <x:c r="J24" s="56" t="n">
        <x:v>0</x:v>
      </x:c>
    </x:row>
    <x:row r="25">
      <x:c r="A25" s="50" t="str">
        <x:v>3.1</x:v>
      </x:c>
      <x:c r="B25" s="50" t="str">
        <x:v>DAD total score at 18 months</x:v>
      </x:c>
      <x:c r="C25" s="50" t="str">
        <x:v>SMD</x:v>
      </x:c>
      <x:c r="D25" s="50" t="str">
        <x:v>Cochrane class pool</x:v>
      </x:c>
      <x:c r="E25" s="59" t="n">
        <x:v>4</x:v>
      </x:c>
      <x:c r="F25" s="62" t="n">
        <x:v>0.04141224471514686</x:v>
      </x:c>
      <x:c r="G25" s="62" t="n">
        <x:v>-0.1598196720713164</x:v>
      </x:c>
      <x:c r="H25" s="62" t="n">
        <x:v>0.2426441615016101</x:v>
      </x:c>
      <x:c r="I25" s="65" t="n">
        <x:v>0.5592504435881637</x:v>
      </x:c>
      <x:c r="J25" s="56" t="n">
        <x:v>47.33975760102408</x:v>
      </x:c>
    </x:row>
    <x:row r="26">
      <x:c r="A26" s="50" t="str">
        <x:v>3.1</x:v>
      </x:c>
      <x:c r="B26" s="50" t="str">
        <x:v>DAD total score at 18 months</x:v>
      </x:c>
      <x:c r="C26" s="50" t="str">
        <x:v>SMD</x:v>
      </x:c>
      <x:c r="D26" s="50" t="str">
        <x:v>Exclude futility-terminated trials</x:v>
      </x:c>
      <x:c r="E26" s="59" t="n">
        <x:v>4</x:v>
      </x:c>
      <x:c r="F26" s="62" t="n">
        <x:v>0.04141224471514686</x:v>
      </x:c>
      <x:c r="G26" s="62" t="n">
        <x:v>-0.1598196720713164</x:v>
      </x:c>
      <x:c r="H26" s="62" t="n">
        <x:v>0.2426441615016101</x:v>
      </x:c>
      <x:c r="I26" s="65" t="n">
        <x:v>0.5592504435881637</x:v>
      </x:c>
      <x:c r="J26" s="56" t="n">
        <x:v>47.33975760102408</x:v>
      </x:c>
    </x:row>
    <x:row r="27">
      <x:c r="A27" s="50" t="str">
        <x:v>3.1</x:v>
      </x:c>
      <x:c r="B27" s="50" t="str">
        <x:v>DAD total score at 18 months</x:v>
      </x:c>
      <x:c r="C27" s="50" t="str">
        <x:v>SMD</x:v>
      </x:c>
      <x:c r="D27" s="50" t="str">
        <x:v>Exclude all early-terminated trials</x:v>
      </x:c>
      <x:c r="E27" s="59" t="n">
        <x:v>2</x:v>
      </x:c>
      <x:c r="F27" s="62" t="n">
        <x:v>0.0686184531359397</x:v>
      </x:c>
      <x:c r="G27" s="62" t="n">
        <x:v>-0.2056961898162945</x:v>
      </x:c>
      <x:c r="H27" s="62" t="n">
        <x:v>0.3429330960881739</x:v>
      </x:c>
      <x:c r="I27" s="65" t="n">
        <x:v>0.6239390952672073</x:v>
      </x:c>
      <x:c r="J27" s="56" t="n">
        <x:v>80.98530989848801</x:v>
      </x:c>
    </x:row>
    <x:row r="28">
      <x:c r="A28" s="50" t="str">
        <x:v>3.2</x:v>
      </x:c>
      <x:c r="B28" s="50" t="str">
        <x:v>ADCS-ADL score at 18 months</x:v>
      </x:c>
      <x:c r="C28" s="50" t="str">
        <x:v>SMD</x:v>
      </x:c>
      <x:c r="D28" s="50" t="str">
        <x:v>Cochrane class pool</x:v>
      </x:c>
      <x:c r="E28" s="59" t="n">
        <x:v>3</x:v>
      </x:c>
      <x:c r="F28" s="62" t="n">
        <x:v>0.0917883181257133</x:v>
      </x:c>
      <x:c r="G28" s="62" t="n">
        <x:v>0.02639709315812255</x:v>
      </x:c>
      <x:c r="H28" s="62" t="n">
        <x:v>0.157179543093304</x:v>
      </x:c>
      <x:c r="I28" s="65" t="n">
        <x:v>0.02633697419299466</x:v>
      </x:c>
      <x:c r="J28" s="56" t="n">
        <x:v>0</x:v>
      </x:c>
    </x:row>
    <x:row r="29">
      <x:c r="A29" s="50" t="str">
        <x:v>3.2</x:v>
      </x:c>
      <x:c r="B29" s="50" t="str">
        <x:v>ADCS-ADL score at 18 months</x:v>
      </x:c>
      <x:c r="C29" s="50" t="str">
        <x:v>SMD</x:v>
      </x:c>
      <x:c r="D29" s="50" t="str">
        <x:v>Exclude futility-terminated trials</x:v>
      </x:c>
      <x:c r="E29" s="59" t="n">
        <x:v>2</x:v>
      </x:c>
      <x:c r="F29" s="62" t="n">
        <x:v>0.08998845305109139</x:v>
      </x:c>
      <x:c r="G29" s="62" t="n">
        <x:v>0.02322570134223649</x:v>
      </x:c>
      <x:c r="H29" s="62" t="n">
        <x:v>0.1567512047599463</x:v>
      </x:c>
      <x:c r="I29" s="65" t="n">
        <x:v>0.008246568120055775</x:v>
      </x:c>
      <x:c r="J29" s="56" t="n">
        <x:v>0</x:v>
      </x:c>
    </x:row>
    <x:row r="30">
      <x:c r="A30" s="50" t="str">
        <x:v>3.2</x:v>
      </x:c>
      <x:c r="B30" s="50" t="str">
        <x:v>ADCS-ADL score at 18 months</x:v>
      </x:c>
      <x:c r="C30" s="50" t="str">
        <x:v>SMD</x:v>
      </x:c>
      <x:c r="D30" s="50" t="str">
        <x:v>Exclude all early-terminated trials</x:v>
      </x:c>
      <x:c r="E30" s="59" t="n">
        <x:v>2</x:v>
      </x:c>
      <x:c r="F30" s="62" t="n">
        <x:v>0.08998845305109139</x:v>
      </x:c>
      <x:c r="G30" s="62" t="n">
        <x:v>0.02322570134223649</x:v>
      </x:c>
      <x:c r="H30" s="62" t="n">
        <x:v>0.1567512047599463</x:v>
      </x:c>
      <x:c r="I30" s="65" t="n">
        <x:v>0.008246568120055775</x:v>
      </x:c>
      <x:c r="J30" s="56" t="n">
        <x:v>0</x:v>
      </x:c>
    </x:row>
    <x:row r="31">
      <x:c r="A31" s="50" t="str">
        <x:v>3.3</x:v>
      </x:c>
      <x:c r="B31" s="50" t="str">
        <x:v>ADCS-ADL score at 24 months</x:v>
      </x:c>
      <x:c r="C31" s="50" t="str">
        <x:v>SMD</x:v>
      </x:c>
      <x:c r="D31" s="50" t="str">
        <x:v>Cochrane class pool</x:v>
      </x:c>
      <x:c r="E31" s="59" t="n">
        <x:v>2</x:v>
      </x:c>
      <x:c r="F31" s="62" t="n">
        <x:v>0.08682091859005583</x:v>
      </x:c>
      <x:c r="G31" s="62" t="n">
        <x:v>-0.5172299831097308</x:v>
      </x:c>
      <x:c r="H31" s="62" t="n">
        <x:v>0.6908718202898424</x:v>
      </x:c>
      <x:c r="I31" s="65" t="n">
        <x:v>0.7781675439764495</x:v>
      </x:c>
      <x:c r="J31" s="56" t="n">
        <x:v>67.8368253887619</x:v>
      </x:c>
    </x:row>
    <x:row r="32">
      <x:c r="A32" s="50" t="str">
        <x:v>3.4</x:v>
      </x:c>
      <x:c r="B32" s="50" t="str">
        <x:v>ADCS-ADL score above 24 months</x:v>
      </x:c>
      <x:c r="C32" s="50" t="str">
        <x:v>SMD</x:v>
      </x:c>
      <x:c r="D32" s="50" t="str">
        <x:v>Cochrane class pool</x:v>
      </x:c>
      <x:c r="E32" s="59" t="n">
        <x:v>2</x:v>
      </x:c>
      <x:c r="F32" s="62" t="n">
        <x:v>0.06945122787161243</x:v>
      </x:c>
      <x:c r="G32" s="62" t="n">
        <x:v>-0.0188582793976029</x:v>
      </x:c>
      <x:c r="H32" s="62" t="n">
        <x:v>0.1577607351408278</x:v>
      </x:c>
      <x:c r="I32" s="65" t="n">
        <x:v>0.123214972396656</x:v>
      </x:c>
      <x:c r="J32" s="56" t="n">
        <x:v>0</x:v>
      </x:c>
    </x:row>
    <x:row r="33">
      <x:c r="A33" s="50" t="str">
        <x:v>3.4</x:v>
      </x:c>
      <x:c r="B33" s="50" t="str">
        <x:v>ADCS-ADL score above 24 months</x:v>
      </x:c>
      <x:c r="C33" s="50" t="str">
        <x:v>SMD</x:v>
      </x:c>
      <x:c r="D33" s="50" t="str">
        <x:v>Exclude futility-terminated trials</x:v>
      </x:c>
      <x:c r="E33" s="59" t="n">
        <x:v>2</x:v>
      </x:c>
      <x:c r="F33" s="62" t="n">
        <x:v>0.06945122787161243</x:v>
      </x:c>
      <x:c r="G33" s="62" t="n">
        <x:v>-0.0188582793976029</x:v>
      </x:c>
      <x:c r="H33" s="62" t="n">
        <x:v>0.1577607351408278</x:v>
      </x:c>
      <x:c r="I33" s="65" t="n">
        <x:v>0.123214972396656</x:v>
      </x:c>
      <x:c r="J33" s="56" t="n">
        <x:v>0</x:v>
      </x:c>
    </x:row>
    <x:row r="34">
      <x:c r="A34" s="50" t="str">
        <x:v>3.4</x:v>
      </x:c>
      <x:c r="B34" s="50" t="str">
        <x:v>ADCS-ADL score above 24 months</x:v>
      </x:c>
      <x:c r="C34" s="50" t="str">
        <x:v>SMD</x:v>
      </x:c>
      <x:c r="D34" s="50" t="str">
        <x:v>Exclude all early-terminated trials</x:v>
      </x:c>
      <x:c r="E34" s="59" t="n">
        <x:v>2</x:v>
      </x:c>
      <x:c r="F34" s="62" t="n">
        <x:v>0.06945122787161243</x:v>
      </x:c>
      <x:c r="G34" s="62" t="n">
        <x:v>-0.0188582793976029</x:v>
      </x:c>
      <x:c r="H34" s="62" t="n">
        <x:v>0.1577607351408278</x:v>
      </x:c>
      <x:c r="I34" s="65" t="n">
        <x:v>0.123214972396656</x:v>
      </x:c>
      <x:c r="J34" s="56" t="n">
        <x:v>0</x:v>
      </x:c>
    </x:row>
    <x:row r="35">
      <x:c r="A35" s="50" t="str">
        <x:v>3.5</x:v>
      </x:c>
      <x:c r="B35" s="50" t="str">
        <x:v>ADCS-ADL-MCI score at 18 months</x:v>
      </x:c>
      <x:c r="C35" s="50" t="str">
        <x:v>SMD</x:v>
      </x:c>
      <x:c r="D35" s="50" t="str">
        <x:v>Cochrane class pool</x:v>
      </x:c>
      <x:c r="E35" s="59" t="n">
        <x:v>4</x:v>
      </x:c>
      <x:c r="F35" s="62" t="n">
        <x:v>0.2253197481892245</x:v>
      </x:c>
      <x:c r="G35" s="62" t="n">
        <x:v>0.1157058503293755</x:v>
      </x:c>
      <x:c r="H35" s="62" t="n">
        <x:v>0.3349336460490735</x:v>
      </x:c>
      <x:c r="I35" s="65" t="n">
        <x:v>0.007261190132686397</x:v>
      </x:c>
      <x:c r="J35" s="56" t="n">
        <x:v>0</x:v>
      </x:c>
    </x:row>
    <x:row r="36">
      <x:c r="A36" s="50" t="str">
        <x:v>3.5</x:v>
      </x:c>
      <x:c r="B36" s="50" t="str">
        <x:v>ADCS-ADL-MCI score at 18 months</x:v>
      </x:c>
      <x:c r="C36" s="50" t="str">
        <x:v>SMD</x:v>
      </x:c>
      <x:c r="D36" s="50" t="str">
        <x:v>Exclude futility-terminated trials</x:v>
      </x:c>
      <x:c r="E36" s="59" t="n">
        <x:v>2</x:v>
      </x:c>
      <x:c r="F36" s="62" t="n">
        <x:v>0.2482128768041779</x:v>
      </x:c>
      <x:c r="G36" s="62" t="n">
        <x:v>0.1494031608583098</x:v>
      </x:c>
      <x:c r="H36" s="62" t="n">
        <x:v>0.3470225927500461</x:v>
      </x:c>
      <x:c r="I36" s="65" t="n">
        <x:v>8.501575972788044e-7</x:v>
      </x:c>
      <x:c r="J36" s="56" t="n">
        <x:v>0</x:v>
      </x:c>
    </x:row>
    <x:row r="37">
      <x:c r="A37" s="50" t="str">
        <x:v>3.5</x:v>
      </x:c>
      <x:c r="B37" s="50" t="str">
        <x:v>ADCS-ADL-MCI score at 18 months</x:v>
      </x:c>
      <x:c r="C37" s="50" t="str">
        <x:v>SMD</x:v>
      </x:c>
      <x:c r="D37" s="50" t="str">
        <x:v>Exclude all early-terminated trials</x:v>
      </x:c>
      <x:c r="E37" s="59" t="n">
        <x:v>1</x:v>
      </x:c>
      <x:c r="F37" s="62" t="n">
        <x:v>0.246614</x:v>
      </x:c>
      <x:c r="G37" s="62" t="n">
        <x:v>0.1475868196811138</x:v>
      </x:c>
      <x:c r="H37" s="62" t="n">
        <x:v>0.3456411803188862</x:v>
      </x:c>
      <x:c r="I37" s="65" t="n">
        <x:v>0.000001055336161928892</x:v>
      </x:c>
      <x:c r="J37" s="56"/>
    </x:row>
    <x:row r="38">
      <x:c r="A38" s="50" t="str">
        <x:v>3.6</x:v>
      </x:c>
      <x:c r="B38" s="50" t="str">
        <x:v>ADCS-iADL score at 18 months</x:v>
      </x:c>
      <x:c r="C38" s="50" t="str">
        <x:v>SMD</x:v>
      </x:c>
      <x:c r="D38" s="50" t="str">
        <x:v>Cochrane class pool</x:v>
      </x:c>
      <x:c r="E38" s="59" t="n">
        <x:v>1</x:v>
      </x:c>
      <x:c r="F38" s="62" t="n">
        <x:v>0.2086615152924401</x:v>
      </x:c>
      <x:c r="G38" s="62" t="n">
        <x:v>0.09740270301361327</x:v>
      </x:c>
      <x:c r="H38" s="62" t="n">
        <x:v>0.3199203275712669</x:v>
      </x:c>
      <x:c r="I38" s="65" t="n">
        <x:v>0.0002370725624849359</x:v>
      </x:c>
      <x:c r="J38" s="56"/>
    </x:row>
    <x:row r="39">
      <x:c r="A39" s="50" t="str">
        <x:v>3.6</x:v>
      </x:c>
      <x:c r="B39" s="50" t="str">
        <x:v>ADCS-iADL score at 18 months</x:v>
      </x:c>
      <x:c r="C39" s="50" t="str">
        <x:v>SMD</x:v>
      </x:c>
      <x:c r="D39" s="50" t="str">
        <x:v>Exclude futility-terminated trials</x:v>
      </x:c>
      <x:c r="E39" s="59" t="n">
        <x:v>1</x:v>
      </x:c>
      <x:c r="F39" s="62" t="n">
        <x:v>0.2086615152924401</x:v>
      </x:c>
      <x:c r="G39" s="62" t="n">
        <x:v>0.09740270301361327</x:v>
      </x:c>
      <x:c r="H39" s="62" t="n">
        <x:v>0.3199203275712669</x:v>
      </x:c>
      <x:c r="I39" s="65" t="n">
        <x:v>0.0002370725624849359</x:v>
      </x:c>
      <x:c r="J39" s="56"/>
    </x:row>
    <x:row r="40">
      <x:c r="A40" s="50" t="str">
        <x:v>3.6</x:v>
      </x:c>
      <x:c r="B40" s="50" t="str">
        <x:v>ADCS-iADL score at 18 months</x:v>
      </x:c>
      <x:c r="C40" s="50" t="str">
        <x:v>SMD</x:v>
      </x:c>
      <x:c r="D40" s="50" t="str">
        <x:v>Exclude all early-terminated trials</x:v>
      </x:c>
      <x:c r="E40" s="59" t="n">
        <x:v>1</x:v>
      </x:c>
      <x:c r="F40" s="62" t="n">
        <x:v>0.2086615152924401</x:v>
      </x:c>
      <x:c r="G40" s="62" t="n">
        <x:v>0.09740270301361327</x:v>
      </x:c>
      <x:c r="H40" s="62" t="n">
        <x:v>0.3199203275712669</x:v>
      </x:c>
      <x:c r="I40" s="65" t="n">
        <x:v>0.0002370725624849359</x:v>
      </x:c>
      <x:c r="J40" s="56"/>
    </x:row>
    <x:row r="41">
      <x:c r="A41" s="50" t="str">
        <x:v>3.7</x:v>
      </x:c>
      <x:c r="B41" s="50" t="str">
        <x:v>ADCS-ADL 24 months mean difference</x:v>
      </x:c>
      <x:c r="C41" s="50" t="str">
        <x:v>MD</x:v>
      </x:c>
      <x:c r="D41" s="50" t="str">
        <x:v>Cochrane class pool</x:v>
      </x:c>
      <x:c r="E41" s="59" t="n">
        <x:v>2</x:v>
      </x:c>
      <x:c r="F41" s="62" t="n">
        <x:v>0.6478059440559435</x:v>
      </x:c>
      <x:c r="G41" s="62" t="n">
        <x:v>-4.919750116189824</x:v>
      </x:c>
      <x:c r="H41" s="62" t="n">
        <x:v>6.215362004301711</x:v>
      </x:c>
      <x:c r="I41" s="65" t="n">
        <x:v>0.8196080459316482</x:v>
      </x:c>
      <x:c r="J41" s="56" t="n">
        <x:v>70.92614553278888</x:v>
      </x:c>
    </x:row>
    <x:row r="42">
      <x:c r="A42" s="50" t="str">
        <x:v>3.8</x:v>
      </x:c>
      <x:c r="B42" s="50" t="str">
        <x:v>ADCS-ADL-MCI 18 months mean difference</x:v>
      </x:c>
      <x:c r="C42" s="50" t="str">
        <x:v>MD</x:v>
      </x:c>
      <x:c r="D42" s="50" t="str">
        <x:v>Cochrane class pool</x:v>
      </x:c>
      <x:c r="E42" s="59" t="n">
        <x:v>4</x:v>
      </x:c>
      <x:c r="F42" s="62" t="n">
        <x:v>1.89589160244829</x:v>
      </x:c>
      <x:c r="G42" s="62" t="n">
        <x:v>1.401633901320093</x:v>
      </x:c>
      <x:c r="H42" s="62" t="n">
        <x:v>2.390149303576488</x:v>
      </x:c>
      <x:c r="I42" s="65" t="n">
        <x:v>0.001183624489583718</x:v>
      </x:c>
      <x:c r="J42" s="56" t="n">
        <x:v>0</x:v>
      </x:c>
    </x:row>
    <x:row r="43">
      <x:c r="A43" s="50" t="str">
        <x:v>3.8</x:v>
      </x:c>
      <x:c r="B43" s="50" t="str">
        <x:v>ADCS-ADL-MCI 18 months mean difference</x:v>
      </x:c>
      <x:c r="C43" s="50" t="str">
        <x:v>MD</x:v>
      </x:c>
      <x:c r="D43" s="50" t="str">
        <x:v>Exclude futility-terminated trials</x:v>
      </x:c>
      <x:c r="E43" s="59" t="n">
        <x:v>2</x:v>
      </x:c>
      <x:c r="F43" s="62" t="n">
        <x:v>2.027207194310863</x:v>
      </x:c>
      <x:c r="G43" s="62" t="n">
        <x:v>1.227837498512774</x:v>
      </x:c>
      <x:c r="H43" s="62" t="n">
        <x:v>2.826576890108951</x:v>
      </x:c>
      <x:c r="I43" s="65" t="n">
        <x:v>6.678648711519499e-7</x:v>
      </x:c>
      <x:c r="J43" s="56" t="n">
        <x:v>0</x:v>
      </x:c>
    </x:row>
    <x:row r="44">
      <x:c r="A44" s="50" t="str">
        <x:v>3.8</x:v>
      </x:c>
      <x:c r="B44" s="50" t="str">
        <x:v>ADCS-ADL-MCI 18 months mean difference</x:v>
      </x:c>
      <x:c r="C44" s="50" t="str">
        <x:v>MD</x:v>
      </x:c>
      <x:c r="D44" s="50" t="str">
        <x:v>Exclude all early-terminated trials</x:v>
      </x:c>
      <x:c r="E44" s="59" t="n">
        <x:v>1</x:v>
      </x:c>
      <x:c r="F44" s="62" t="n">
        <x:v>2</x:v>
      </x:c>
      <x:c r="G44" s="62" t="n">
        <x:v>1.196414766338578</x:v>
      </x:c>
      <x:c r="H44" s="62" t="n">
        <x:v>2.803585233661422</x:v>
      </x:c>
      <x:c r="I44" s="65" t="n">
        <x:v>0.000001071404313668343</x:v>
      </x:c>
      <x:c r="J44" s="56"/>
    </x:row>
    <x:row r="45">
      <x:c r="A45" s="50" t="str">
        <x:v>4.1</x:v>
      </x:c>
      <x:c r="B45" s="50" t="str">
        <x:v>Any ARIA at 18 months</x:v>
      </x:c>
      <x:c r="C45" s="50" t="str">
        <x:v>RR</x:v>
      </x:c>
      <x:c r="D45" s="50" t="str">
        <x:v>Cochrane class pool</x:v>
      </x:c>
      <x:c r="E45" s="59" t="n">
        <x:v>3</x:v>
      </x:c>
      <x:c r="F45" s="62" t="n">
        <x:v>2.401027274738645</x:v>
      </x:c>
      <x:c r="G45" s="62" t="n">
        <x:v>2.084713423767042</x:v>
      </x:c>
      <x:c r="H45" s="62" t="n">
        <x:v>2.76533546928563</x:v>
      </x:c>
      <x:c r="I45" s="65" t="n">
        <x:v>0.001402098015329501</x:v>
      </x:c>
      <x:c r="J45" s="56" t="n">
        <x:v>0</x:v>
      </x:c>
    </x:row>
    <x:row r="46">
      <x:c r="A46" s="50" t="str">
        <x:v>4.1</x:v>
      </x:c>
      <x:c r="B46" s="50" t="str">
        <x:v>Any ARIA at 18 months</x:v>
      </x:c>
      <x:c r="C46" s="50" t="str">
        <x:v>RR</x:v>
      </x:c>
      <x:c r="D46" s="50" t="str">
        <x:v>Exclude futility-terminated trials</x:v>
      </x:c>
      <x:c r="E46" s="59" t="n">
        <x:v>3</x:v>
      </x:c>
      <x:c r="F46" s="62" t="n">
        <x:v>2.401027274738645</x:v>
      </x:c>
      <x:c r="G46" s="62" t="n">
        <x:v>2.084713423767042</x:v>
      </x:c>
      <x:c r="H46" s="62" t="n">
        <x:v>2.76533546928563</x:v>
      </x:c>
      <x:c r="I46" s="65" t="n">
        <x:v>0.001402098015329501</x:v>
      </x:c>
      <x:c r="J46" s="56" t="n">
        <x:v>0</x:v>
      </x:c>
    </x:row>
    <x:row r="47">
      <x:c r="A47" s="50" t="str">
        <x:v>4.1</x:v>
      </x:c>
      <x:c r="B47" s="50" t="str">
        <x:v>Any ARIA at 18 months</x:v>
      </x:c>
      <x:c r="C47" s="50" t="str">
        <x:v>RR</x:v>
      </x:c>
      <x:c r="D47" s="50" t="str">
        <x:v>Exclude all early-terminated trials</x:v>
      </x:c>
      <x:c r="E47" s="59" t="n">
        <x:v>3</x:v>
      </x:c>
      <x:c r="F47" s="62" t="n">
        <x:v>2.401027274738645</x:v>
      </x:c>
      <x:c r="G47" s="62" t="n">
        <x:v>2.084713423767042</x:v>
      </x:c>
      <x:c r="H47" s="62" t="n">
        <x:v>2.76533546928563</x:v>
      </x:c>
      <x:c r="I47" s="65" t="n">
        <x:v>0.001402098015329501</x:v>
      </x:c>
      <x:c r="J47" s="56" t="n">
        <x:v>0</x:v>
      </x:c>
    </x:row>
    <x:row r="48">
      <x:c r="A48" s="50" t="str">
        <x:v>4.2</x:v>
      </x:c>
      <x:c r="B48" s="50" t="str">
        <x:v>Any ARIA E at 18 months</x:v>
      </x:c>
      <x:c r="C48" s="50" t="str">
        <x:v>RR</x:v>
      </x:c>
      <x:c r="D48" s="50" t="str">
        <x:v>Cochrane class pool</x:v>
      </x:c>
      <x:c r="E48" s="59" t="n">
        <x:v>11</x:v>
      </x:c>
      <x:c r="F48" s="62" t="n">
        <x:v>10.02156709964346</x:v>
      </x:c>
      <x:c r="G48" s="62" t="n">
        <x:v>6.52884237787573</x:v>
      </x:c>
      <x:c r="H48" s="62" t="n">
        <x:v>15.382789370591826</x:v>
      </x:c>
      <x:c r="I48" s="65" t="n">
        <x:v>2.958196663618203e-7</x:v>
      </x:c>
      <x:c r="J48" s="56" t="n">
        <x:v>25.234597256918875</x:v>
      </x:c>
    </x:row>
    <x:row r="49">
      <x:c r="A49" s="50" t="str">
        <x:v>4.2</x:v>
      </x:c>
      <x:c r="B49" s="50" t="str">
        <x:v>Any ARIA E at 18 months</x:v>
      </x:c>
      <x:c r="C49" s="50" t="str">
        <x:v>RR</x:v>
      </x:c>
      <x:c r="D49" s="50" t="str">
        <x:v>Exclude futility-terminated trials</x:v>
      </x:c>
      <x:c r="E49" s="59" t="n">
        <x:v>8</x:v>
      </x:c>
      <x:c r="F49" s="62" t="n">
        <x:v>8.761592331366693</x:v>
      </x:c>
      <x:c r="G49" s="62" t="n">
        <x:v>3.969814426889861</x:v>
      </x:c>
      <x:c r="H49" s="62" t="n">
        <x:v>19.337301930560347</x:v>
      </x:c>
      <x:c r="I49" s="65" t="n">
        <x:v>0.0003396016197588457</x:v>
      </x:c>
      <x:c r="J49" s="56" t="n">
        <x:v>53.695584088433236</x:v>
      </x:c>
    </x:row>
    <x:row r="50">
      <x:c r="A50" s="50" t="str">
        <x:v>4.2</x:v>
      </x:c>
      <x:c r="B50" s="50" t="str">
        <x:v>Any ARIA E at 18 months</x:v>
      </x:c>
      <x:c r="C50" s="50" t="str">
        <x:v>RR</x:v>
      </x:c>
      <x:c r="D50" s="50" t="str">
        <x:v>Exclude all early-terminated trials</x:v>
      </x:c>
      <x:c r="E50" s="59" t="n">
        <x:v>6</x:v>
      </x:c>
      <x:c r="F50" s="62" t="n">
        <x:v>9.477140883473439</x:v>
      </x:c>
      <x:c r="G50" s="62" t="n">
        <x:v>2.10361387441822</x:v>
      </x:c>
      <x:c r="H50" s="62" t="n">
        <x:v>42.69614325016917</x:v>
      </x:c>
      <x:c r="I50" s="65" t="n">
        <x:v>0.01211657000172309</x:v>
      </x:c>
      <x:c r="J50" s="56" t="n">
        <x:v>83.6951263786254</x:v>
      </x:c>
    </x:row>
    <x:row r="51">
      <x:c r="A51" s="50" t="str">
        <x:v>4.3</x:v>
      </x:c>
      <x:c r="B51" s="50" t="str">
        <x:v>Any ARIA E at 24 months</x:v>
      </x:c>
      <x:c r="C51" s="50" t="str">
        <x:v>RR</x:v>
      </x:c>
      <x:c r="D51" s="50" t="str">
        <x:v>Cochrane class pool</x:v>
      </x:c>
      <x:c r="E51" s="59" t="n">
        <x:v>4</x:v>
      </x:c>
      <x:c r="F51" s="62" t="n">
        <x:v>7.49410213532707</x:v>
      </x:c>
      <x:c r="G51" s="62" t="n">
        <x:v>1.592420420316632</x:v>
      </x:c>
      <x:c r="H51" s="62" t="n">
        <x:v>35.26805239256274</x:v>
      </x:c>
      <x:c r="I51" s="65" t="n">
        <x:v>0.02561309985926109</x:v>
      </x:c>
      <x:c r="J51" s="56" t="n">
        <x:v>11.83959632683998</x:v>
      </x:c>
    </x:row>
    <x:row r="52">
      <x:c r="A52" s="50" t="str">
        <x:v>4.3</x:v>
      </x:c>
      <x:c r="B52" s="50" t="str">
        <x:v>Any ARIA E at 24 months</x:v>
      </x:c>
      <x:c r="C52" s="50" t="str">
        <x:v>RR</x:v>
      </x:c>
      <x:c r="D52" s="50" t="str">
        <x:v>Exclude futility-terminated trials</x:v>
      </x:c>
      <x:c r="E52" s="59" t="n">
        <x:v>1</x:v>
      </x:c>
      <x:c r="F52" s="62" t="n">
        <x:v>7.599118942731277</x:v>
      </x:c>
      <x:c r="G52" s="62" t="n">
        <x:v>0.435288259576443</x:v>
      </x:c>
      <x:c r="H52" s="62" t="n">
        <x:v>132.66291344950963</x:v>
      </x:c>
      <x:c r="I52" s="65" t="n">
        <x:v>0.1645525232774595</x:v>
      </x:c>
      <x:c r="J52" s="56"/>
    </x:row>
    <x:row r="53">
      <x:c r="A53" s="50" t="str">
        <x:v>4.4</x:v>
      </x:c>
      <x:c r="B53" s="50" t="str">
        <x:v>Any ARIA E above 24 months</x:v>
      </x:c>
      <x:c r="C53" s="50" t="str">
        <x:v>RR</x:v>
      </x:c>
      <x:c r="D53" s="50" t="str">
        <x:v>Cochrane class pool</x:v>
      </x:c>
      <x:c r="E53" s="59" t="n">
        <x:v>2</x:v>
      </x:c>
      <x:c r="F53" s="62" t="n">
        <x:v>9.349943398952874</x:v>
      </x:c>
      <x:c r="G53" s="62" t="n">
        <x:v>4.51505569501341</x:v>
      </x:c>
      <x:c r="H53" s="62" t="n">
        <x:v>19.362206685550703</x:v>
      </x:c>
      <x:c r="I53" s="65" t="n">
        <x:v>1.75948832335529e-9</x:v>
      </x:c>
      <x:c r="J53" s="56" t="n">
        <x:v>66.3692954998454</x:v>
      </x:c>
    </x:row>
    <x:row r="54">
      <x:c r="A54" s="50" t="str">
        <x:v>4.4</x:v>
      </x:c>
      <x:c r="B54" s="50" t="str">
        <x:v>Any ARIA E above 24 months</x:v>
      </x:c>
      <x:c r="C54" s="50" t="str">
        <x:v>RR</x:v>
      </x:c>
      <x:c r="D54" s="50" t="str">
        <x:v>Exclude futility-terminated trials</x:v>
      </x:c>
      <x:c r="E54" s="59" t="n">
        <x:v>2</x:v>
      </x:c>
      <x:c r="F54" s="62" t="n">
        <x:v>9.349943398952874</x:v>
      </x:c>
      <x:c r="G54" s="62" t="n">
        <x:v>4.51505569501341</x:v>
      </x:c>
      <x:c r="H54" s="62" t="n">
        <x:v>19.362206685550703</x:v>
      </x:c>
      <x:c r="I54" s="65" t="n">
        <x:v>1.75948832335529e-9</x:v>
      </x:c>
      <x:c r="J54" s="56" t="n">
        <x:v>66.3692954998454</x:v>
      </x:c>
    </x:row>
    <x:row r="55">
      <x:c r="A55" s="50" t="str">
        <x:v>4.4</x:v>
      </x:c>
      <x:c r="B55" s="50" t="str">
        <x:v>Any ARIA E above 24 months</x:v>
      </x:c>
      <x:c r="C55" s="50" t="str">
        <x:v>RR</x:v>
      </x:c>
      <x:c r="D55" s="50" t="str">
        <x:v>Exclude all early-terminated trials</x:v>
      </x:c>
      <x:c r="E55" s="59" t="n">
        <x:v>2</x:v>
      </x:c>
      <x:c r="F55" s="62" t="n">
        <x:v>9.349943398952874</x:v>
      </x:c>
      <x:c r="G55" s="62" t="n">
        <x:v>4.51505569501341</x:v>
      </x:c>
      <x:c r="H55" s="62" t="n">
        <x:v>19.362206685550703</x:v>
      </x:c>
      <x:c r="I55" s="65" t="n">
        <x:v>1.75948832335529e-9</x:v>
      </x:c>
      <x:c r="J55" s="56" t="n">
        <x:v>66.3692954998454</x:v>
      </x:c>
    </x:row>
    <x:row r="56">
      <x:c r="A56" s="50" t="str">
        <x:v>4.5</x:v>
      </x:c>
      <x:c r="B56" s="50" t="str">
        <x:v>Symptomatic ARIA E at 18 months</x:v>
      </x:c>
      <x:c r="C56" s="50" t="str">
        <x:v>RR</x:v>
      </x:c>
      <x:c r="D56" s="50" t="str">
        <x:v>Cochrane class pool</x:v>
      </x:c>
      <x:c r="E56" s="59" t="n">
        <x:v>2</x:v>
      </x:c>
      <x:c r="F56" s="62" t="n">
        <x:v>52.49035277096728</x:v>
      </x:c>
      <x:c r="G56" s="62" t="n">
        <x:v>10.448210290930277</x:v>
      </x:c>
      <x:c r="H56" s="62" t="n">
        <x:v>263.7042189332957</x:v>
      </x:c>
      <x:c r="I56" s="65" t="n">
        <x:v>0.000001516827684669414</x:v>
      </x:c>
      <x:c r="J56" s="56" t="n">
        <x:v>0</x:v>
      </x:c>
    </x:row>
    <x:row r="57">
      <x:c r="A57" s="50" t="str">
        <x:v>4.5</x:v>
      </x:c>
      <x:c r="B57" s="50" t="str">
        <x:v>Symptomatic ARIA E at 18 months</x:v>
      </x:c>
      <x:c r="C57" s="50" t="str">
        <x:v>RR</x:v>
      </x:c>
      <x:c r="D57" s="50" t="str">
        <x:v>Exclude futility-terminated trials</x:v>
      </x:c>
      <x:c r="E57" s="59" t="n">
        <x:v>2</x:v>
      </x:c>
      <x:c r="F57" s="62" t="n">
        <x:v>52.49035277096728</x:v>
      </x:c>
      <x:c r="G57" s="62" t="n">
        <x:v>10.448210290930277</x:v>
      </x:c>
      <x:c r="H57" s="62" t="n">
        <x:v>263.7042189332957</x:v>
      </x:c>
      <x:c r="I57" s="65" t="n">
        <x:v>0.000001516827684669414</x:v>
      </x:c>
      <x:c r="J57" s="56" t="n">
        <x:v>0</x:v>
      </x:c>
    </x:row>
    <x:row r="58">
      <x:c r="A58" s="50" t="str">
        <x:v>4.5</x:v>
      </x:c>
      <x:c r="B58" s="50" t="str">
        <x:v>Symptomatic ARIA E at 18 months</x:v>
      </x:c>
      <x:c r="C58" s="50" t="str">
        <x:v>RR</x:v>
      </x:c>
      <x:c r="D58" s="50" t="str">
        <x:v>Exclude all early-terminated trials</x:v>
      </x:c>
      <x:c r="E58" s="59" t="n">
        <x:v>2</x:v>
      </x:c>
      <x:c r="F58" s="62" t="n">
        <x:v>52.49035277096728</x:v>
      </x:c>
      <x:c r="G58" s="62" t="n">
        <x:v>10.448210290930277</x:v>
      </x:c>
      <x:c r="H58" s="62" t="n">
        <x:v>263.7042189332957</x:v>
      </x:c>
      <x:c r="I58" s="65" t="n">
        <x:v>0.000001516827684669414</x:v>
      </x:c>
      <x:c r="J58" s="56" t="n">
        <x:v>0</x:v>
      </x:c>
    </x:row>
    <x:row r="59">
      <x:c r="A59" s="50" t="str">
        <x:v>4.6</x:v>
      </x:c>
      <x:c r="B59" s="50" t="str">
        <x:v>Symptomatic ARIA E above 24 months</x:v>
      </x:c>
      <x:c r="C59" s="50" t="str">
        <x:v>RR</x:v>
      </x:c>
      <x:c r="D59" s="50" t="str">
        <x:v>Cochrane class pool</x:v>
      </x:c>
      <x:c r="E59" s="59" t="n">
        <x:v>2</x:v>
      </x:c>
      <x:c r="F59" s="62" t="n">
        <x:v>15.546661816944196</x:v>
      </x:c>
      <x:c r="G59" s="62" t="n">
        <x:v>4.331361582881384</x:v>
      </x:c>
      <x:c r="H59" s="62" t="n">
        <x:v>55.80201260630923</x:v>
      </x:c>
      <x:c r="I59" s="65" t="n">
        <x:v>0.00002574921926643576</x:v>
      </x:c>
      <x:c r="J59" s="56" t="n">
        <x:v>0</x:v>
      </x:c>
    </x:row>
    <x:row r="60">
      <x:c r="A60" s="50" t="str">
        <x:v>4.6</x:v>
      </x:c>
      <x:c r="B60" s="50" t="str">
        <x:v>Symptomatic ARIA E above 24 months</x:v>
      </x:c>
      <x:c r="C60" s="50" t="str">
        <x:v>RR</x:v>
      </x:c>
      <x:c r="D60" s="50" t="str">
        <x:v>Exclude futility-terminated trials</x:v>
      </x:c>
      <x:c r="E60" s="59" t="n">
        <x:v>2</x:v>
      </x:c>
      <x:c r="F60" s="62" t="n">
        <x:v>15.546661816944196</x:v>
      </x:c>
      <x:c r="G60" s="62" t="n">
        <x:v>4.331361582881384</x:v>
      </x:c>
      <x:c r="H60" s="62" t="n">
        <x:v>55.80201260630923</x:v>
      </x:c>
      <x:c r="I60" s="65" t="n">
        <x:v>0.00002574921926643576</x:v>
      </x:c>
      <x:c r="J60" s="56" t="n">
        <x:v>0</x:v>
      </x:c>
    </x:row>
    <x:row r="61">
      <x:c r="A61" s="50" t="str">
        <x:v>4.6</x:v>
      </x:c>
      <x:c r="B61" s="50" t="str">
        <x:v>Symptomatic ARIA E above 24 months</x:v>
      </x:c>
      <x:c r="C61" s="50" t="str">
        <x:v>RR</x:v>
      </x:c>
      <x:c r="D61" s="50" t="str">
        <x:v>Exclude all early-terminated trials</x:v>
      </x:c>
      <x:c r="E61" s="59" t="n">
        <x:v>2</x:v>
      </x:c>
      <x:c r="F61" s="62" t="n">
        <x:v>15.546661816944196</x:v>
      </x:c>
      <x:c r="G61" s="62" t="n">
        <x:v>4.331361582881384</x:v>
      </x:c>
      <x:c r="H61" s="62" t="n">
        <x:v>55.80201260630923</x:v>
      </x:c>
      <x:c r="I61" s="65" t="n">
        <x:v>0.00002574921926643576</x:v>
      </x:c>
      <x:c r="J61" s="56" t="n">
        <x:v>0</x:v>
      </x:c>
    </x:row>
    <x:row r="62">
      <x:c r="A62" s="50" t="str">
        <x:v>4.7</x:v>
      </x:c>
      <x:c r="B62" s="50" t="str">
        <x:v>Any ARIA H at 18 months</x:v>
      </x:c>
      <x:c r="C62" s="50" t="str">
        <x:v>RR</x:v>
      </x:c>
      <x:c r="D62" s="50" t="str">
        <x:v>Cochrane class pool</x:v>
      </x:c>
      <x:c r="E62" s="59" t="n">
        <x:v>3</x:v>
      </x:c>
      <x:c r="F62" s="62" t="n">
        <x:v>1.647567809136657</x:v>
      </x:c>
      <x:c r="G62" s="62" t="n">
        <x:v>0.4720670649431771</x:v>
      </x:c>
      <x:c r="H62" s="62" t="n">
        <x:v>5.750199256180067</x:v>
      </x:c>
      <x:c r="I62" s="65" t="n">
        <x:v>0.2278005662462623</x:v>
      </x:c>
      <x:c r="J62" s="56" t="n">
        <x:v>90.00231897534974</x:v>
      </x:c>
    </x:row>
    <x:row r="63">
      <x:c r="A63" s="50" t="str">
        <x:v>4.7</x:v>
      </x:c>
      <x:c r="B63" s="50" t="str">
        <x:v>Any ARIA H at 18 months</x:v>
      </x:c>
      <x:c r="C63" s="50" t="str">
        <x:v>RR</x:v>
      </x:c>
      <x:c r="D63" s="50" t="str">
        <x:v>Exclude futility-terminated trials</x:v>
      </x:c>
      <x:c r="E63" s="59" t="n">
        <x:v>2</x:v>
      </x:c>
      <x:c r="F63" s="62" t="n">
        <x:v>2.138161182743668</x:v>
      </x:c>
      <x:c r="G63" s="62" t="n">
        <x:v>1.783838716365453</x:v>
      </x:c>
      <x:c r="H63" s="62" t="n">
        <x:v>2.562862438991482</x:v>
      </x:c>
      <x:c r="I63" s="65" t="n">
        <x:v>2.018307569553946e-16</x:v>
      </x:c>
      <x:c r="J63" s="56" t="n">
        <x:v>25.597636053393902</x:v>
      </x:c>
    </x:row>
    <x:row r="64">
      <x:c r="A64" s="50" t="str">
        <x:v>4.7</x:v>
      </x:c>
      <x:c r="B64" s="50" t="str">
        <x:v>Any ARIA H at 18 months</x:v>
      </x:c>
      <x:c r="C64" s="50" t="str">
        <x:v>RR</x:v>
      </x:c>
      <x:c r="D64" s="50" t="str">
        <x:v>Exclude all early-terminated trials</x:v>
      </x:c>
      <x:c r="E64" s="59" t="n">
        <x:v>2</x:v>
      </x:c>
      <x:c r="F64" s="62" t="n">
        <x:v>2.138161182743668</x:v>
      </x:c>
      <x:c r="G64" s="62" t="n">
        <x:v>1.783838716365453</x:v>
      </x:c>
      <x:c r="H64" s="62" t="n">
        <x:v>2.562862438991482</x:v>
      </x:c>
      <x:c r="I64" s="65" t="n">
        <x:v>2.018307569553946e-16</x:v>
      </x:c>
      <x:c r="J64" s="56" t="n">
        <x:v>25.597636053393902</x:v>
      </x:c>
    </x:row>
    <x:row r="65">
      <x:c r="A65" s="50" t="str">
        <x:v>4.8</x:v>
      </x:c>
      <x:c r="B65" s="50" t="str">
        <x:v>Any ARIA H at 24 months</x:v>
      </x:c>
      <x:c r="C65" s="50" t="str">
        <x:v>RR</x:v>
      </x:c>
      <x:c r="D65" s="50" t="str">
        <x:v>Cochrane class pool</x:v>
      </x:c>
      <x:c r="E65" s="59" t="n">
        <x:v>4</x:v>
      </x:c>
      <x:c r="F65" s="62" t="n">
        <x:v>1.274817128129933</x:v>
      </x:c>
      <x:c r="G65" s="62" t="n">
        <x:v>1.076618490467785</x:v>
      </x:c>
      <x:c r="H65" s="62" t="n">
        <x:v>1.509502878282657</x:v>
      </x:c>
      <x:c r="I65" s="65" t="n">
        <x:v>0.01962356765593941</x:v>
      </x:c>
      <x:c r="J65" s="56" t="n">
        <x:v>0</x:v>
      </x:c>
    </x:row>
    <x:row r="66">
      <x:c r="A66" s="50" t="str">
        <x:v>4.8</x:v>
      </x:c>
      <x:c r="B66" s="50" t="str">
        <x:v>Any ARIA H at 24 months</x:v>
      </x:c>
      <x:c r="C66" s="50" t="str">
        <x:v>RR</x:v>
      </x:c>
      <x:c r="D66" s="50" t="str">
        <x:v>Exclude futility-terminated trials</x:v>
      </x:c>
      <x:c r="E66" s="59" t="n">
        <x:v>1</x:v>
      </x:c>
      <x:c r="F66" s="62" t="n">
        <x:v>2.533039647577092</x:v>
      </x:c>
      <x:c r="G66" s="62" t="n">
        <x:v>0.1219456991199386</x:v>
      </x:c>
      <x:c r="H66" s="62" t="n">
        <x:v>52.61595859880877</x:v>
      </x:c>
      <x:c r="I66" s="65" t="n">
        <x:v>0.5481833162508196</x:v>
      </x:c>
      <x:c r="J66" s="56"/>
    </x:row>
    <x:row r="67">
      <x:c r="A67" s="50" t="str">
        <x:v>4.9</x:v>
      </x:c>
      <x:c r="B67" s="50" t="str">
        <x:v>Any ARIA H above 24 months</x:v>
      </x:c>
      <x:c r="C67" s="50" t="str">
        <x:v>RR</x:v>
      </x:c>
      <x:c r="D67" s="50" t="str">
        <x:v>Cochrane class pool</x:v>
      </x:c>
      <x:c r="E67" s="59" t="n">
        <x:v>2</x:v>
      </x:c>
      <x:c r="F67" s="62" t="n">
        <x:v>1.86453837103413</x:v>
      </x:c>
      <x:c r="G67" s="62" t="n">
        <x:v>1.518623298927227</x:v>
      </x:c>
      <x:c r="H67" s="62" t="n">
        <x:v>2.289246674612755</x:v>
      </x:c>
      <x:c r="I67" s="65" t="n">
        <x:v>2.674353802685853e-9</x:v>
      </x:c>
      <x:c r="J67" s="56" t="n">
        <x:v>0</x:v>
      </x:c>
    </x:row>
    <x:row r="68">
      <x:c r="A68" s="50" t="str">
        <x:v>4.9</x:v>
      </x:c>
      <x:c r="B68" s="50" t="str">
        <x:v>Any ARIA H above 24 months</x:v>
      </x:c>
      <x:c r="C68" s="50" t="str">
        <x:v>RR</x:v>
      </x:c>
      <x:c r="D68" s="50" t="str">
        <x:v>Exclude futility-terminated trials</x:v>
      </x:c>
      <x:c r="E68" s="59" t="n">
        <x:v>2</x:v>
      </x:c>
      <x:c r="F68" s="62" t="n">
        <x:v>1.86453837103413</x:v>
      </x:c>
      <x:c r="G68" s="62" t="n">
        <x:v>1.518623298927227</x:v>
      </x:c>
      <x:c r="H68" s="62" t="n">
        <x:v>2.289246674612755</x:v>
      </x:c>
      <x:c r="I68" s="65" t="n">
        <x:v>2.674353802685853e-9</x:v>
      </x:c>
      <x:c r="J68" s="56" t="n">
        <x:v>0</x:v>
      </x:c>
    </x:row>
    <x:row r="69">
      <x:c r="A69" s="50" t="str">
        <x:v>4.9</x:v>
      </x:c>
      <x:c r="B69" s="50" t="str">
        <x:v>Any ARIA H above 24 months</x:v>
      </x:c>
      <x:c r="C69" s="50" t="str">
        <x:v>RR</x:v>
      </x:c>
      <x:c r="D69" s="50" t="str">
        <x:v>Exclude all early-terminated trials</x:v>
      </x:c>
      <x:c r="E69" s="59" t="n">
        <x:v>2</x:v>
      </x:c>
      <x:c r="F69" s="62" t="n">
        <x:v>1.86453837103413</x:v>
      </x:c>
      <x:c r="G69" s="62" t="n">
        <x:v>1.518623298927227</x:v>
      </x:c>
      <x:c r="H69" s="62" t="n">
        <x:v>2.289246674612755</x:v>
      </x:c>
      <x:c r="I69" s="65" t="n">
        <x:v>2.674353802685853e-9</x:v>
      </x:c>
      <x:c r="J69" s="56" t="n">
        <x:v>0</x:v>
      </x:c>
    </x:row>
    <x:row r="70">
      <x:c r="A70" s="50" t="str">
        <x:v>5.1</x:v>
      </x:c>
      <x:c r="B70" s="50" t="str">
        <x:v>SAE at 18 months</x:v>
      </x:c>
      <x:c r="C70" s="50" t="str">
        <x:v>RR</x:v>
      </x:c>
      <x:c r="D70" s="50" t="str">
        <x:v>Cochrane class pool</x:v>
      </x:c>
      <x:c r="E70" s="59" t="n">
        <x:v>9</x:v>
      </x:c>
      <x:c r="F70" s="62" t="n">
        <x:v>1.041125919875473</x:v>
      </x:c>
      <x:c r="G70" s="62" t="n">
        <x:v>0.9197385260982464</x:v>
      </x:c>
      <x:c r="H70" s="62" t="n">
        <x:v>1.178534061887023</x:v>
      </x:c>
      <x:c r="I70" s="65" t="n">
        <x:v>0.4749065574334277</x:v>
      </x:c>
      <x:c r="J70" s="56" t="n">
        <x:v>39.37245648976637</x:v>
      </x:c>
    </x:row>
    <x:row r="71">
      <x:c r="A71" s="50" t="str">
        <x:v>5.1</x:v>
      </x:c>
      <x:c r="B71" s="50" t="str">
        <x:v>SAE at 18 months</x:v>
      </x:c>
      <x:c r="C71" s="50" t="str">
        <x:v>RR</x:v>
      </x:c>
      <x:c r="D71" s="50" t="str">
        <x:v>Exclude futility-terminated trials</x:v>
      </x:c>
      <x:c r="E71" s="59" t="n">
        <x:v>6</x:v>
      </x:c>
      <x:c r="F71" s="62" t="n">
        <x:v>1.083436096979602</x:v>
      </x:c>
      <x:c r="G71" s="62" t="n">
        <x:v>0.9197977450241073</x:v>
      </x:c>
      <x:c r="H71" s="62" t="n">
        <x:v>1.276186838452869</x:v>
      </x:c>
      <x:c r="I71" s="65" t="n">
        <x:v>0.2639087413676368</x:v>
      </x:c>
      <x:c r="J71" s="56" t="n">
        <x:v>50.76790651647276</x:v>
      </x:c>
    </x:row>
    <x:row r="72">
      <x:c r="A72" s="50" t="str">
        <x:v>5.1</x:v>
      </x:c>
      <x:c r="B72" s="50" t="str">
        <x:v>SAE at 18 months</x:v>
      </x:c>
      <x:c r="C72" s="50" t="str">
        <x:v>RR</x:v>
      </x:c>
      <x:c r="D72" s="50" t="str">
        <x:v>Exclude all early-terminated trials</x:v>
      </x:c>
      <x:c r="E72" s="59" t="n">
        <x:v>6</x:v>
      </x:c>
      <x:c r="F72" s="62" t="n">
        <x:v>1.083436096979602</x:v>
      </x:c>
      <x:c r="G72" s="62" t="n">
        <x:v>0.9197977450241073</x:v>
      </x:c>
      <x:c r="H72" s="62" t="n">
        <x:v>1.276186838452869</x:v>
      </x:c>
      <x:c r="I72" s="65" t="n">
        <x:v>0.2639087413676368</x:v>
      </x:c>
      <x:c r="J72" s="56" t="n">
        <x:v>50.76790651647276</x:v>
      </x:c>
    </x:row>
    <x:row r="73">
      <x:c r="A73" s="50" t="str">
        <x:v>5.2</x:v>
      </x:c>
      <x:c r="B73" s="50" t="str">
        <x:v>SAE at 24 months</x:v>
      </x:c>
      <x:c r="C73" s="50" t="str">
        <x:v>RR</x:v>
      </x:c>
      <x:c r="D73" s="50" t="str">
        <x:v>Cochrane class pool</x:v>
      </x:c>
      <x:c r="E73" s="59" t="n">
        <x:v>4</x:v>
      </x:c>
      <x:c r="F73" s="62" t="n">
        <x:v>1.03100110180081</x:v>
      </x:c>
      <x:c r="G73" s="62" t="n">
        <x:v>0.7922103769561634</x:v>
      </x:c>
      <x:c r="H73" s="62" t="n">
        <x:v>1.341768932639596</x:v>
      </x:c>
      <x:c r="I73" s="65" t="n">
        <x:v>0.7367734785731431</x:v>
      </x:c>
      <x:c r="J73" s="56" t="n">
        <x:v>0</x:v>
      </x:c>
    </x:row>
    <x:row r="74">
      <x:c r="A74" s="50" t="str">
        <x:v>5.2</x:v>
      </x:c>
      <x:c r="B74" s="50" t="str">
        <x:v>SAE at 24 months</x:v>
      </x:c>
      <x:c r="C74" s="50" t="str">
        <x:v>RR</x:v>
      </x:c>
      <x:c r="D74" s="50" t="str">
        <x:v>Exclude futility-terminated trials</x:v>
      </x:c>
      <x:c r="E74" s="59" t="n">
        <x:v>1</x:v>
      </x:c>
      <x:c r="F74" s="62" t="n">
        <x:v>1.29769820971867</x:v>
      </x:c>
      <x:c r="G74" s="62" t="n">
        <x:v>0.8159302297730878</x:v>
      </x:c>
      <x:c r="H74" s="62" t="n">
        <x:v>2.063927260024882</x:v>
      </x:c>
      <x:c r="I74" s="65" t="n">
        <x:v>0.2710216887898833</x:v>
      </x:c>
      <x:c r="J74" s="56"/>
    </x:row>
    <x:row r="75">
      <x:c r="A75" s="50" t="str">
        <x:v>5.3</x:v>
      </x:c>
      <x:c r="B75" s="50" t="str">
        <x:v>SAE above 24 months</x:v>
      </x:c>
      <x:c r="C75" s="50" t="str">
        <x:v>RR</x:v>
      </x:c>
      <x:c r="D75" s="50" t="str">
        <x:v>Cochrane class pool</x:v>
      </x:c>
      <x:c r="E75" s="59" t="n">
        <x:v>2</x:v>
      </x:c>
      <x:c r="F75" s="62" t="n">
        <x:v>0.8237606397871372</x:v>
      </x:c>
      <x:c r="G75" s="62" t="n">
        <x:v>0.6672245404164605</x:v>
      </x:c>
      <x:c r="H75" s="62" t="n">
        <x:v>1.017021333236581</x:v>
      </x:c>
      <x:c r="I75" s="65" t="n">
        <x:v>0.0713880407286846</x:v>
      </x:c>
      <x:c r="J75" s="56" t="n">
        <x:v>0</x:v>
      </x:c>
    </x:row>
    <x:row r="76">
      <x:c r="A76" s="50" t="str">
        <x:v>5.3</x:v>
      </x:c>
      <x:c r="B76" s="50" t="str">
        <x:v>SAE above 24 months</x:v>
      </x:c>
      <x:c r="C76" s="50" t="str">
        <x:v>RR</x:v>
      </x:c>
      <x:c r="D76" s="50" t="str">
        <x:v>Exclude futility-terminated trials</x:v>
      </x:c>
      <x:c r="E76" s="59" t="n">
        <x:v>2</x:v>
      </x:c>
      <x:c r="F76" s="62" t="n">
        <x:v>0.8237606397871372</x:v>
      </x:c>
      <x:c r="G76" s="62" t="n">
        <x:v>0.6672245404164605</x:v>
      </x:c>
      <x:c r="H76" s="62" t="n">
        <x:v>1.017021333236581</x:v>
      </x:c>
      <x:c r="I76" s="65" t="n">
        <x:v>0.0713880407286846</x:v>
      </x:c>
      <x:c r="J76" s="56" t="n">
        <x:v>0</x:v>
      </x:c>
    </x:row>
    <x:row r="77">
      <x:c r="A77" s="50" t="str">
        <x:v>5.3</x:v>
      </x:c>
      <x:c r="B77" s="50" t="str">
        <x:v>SAE above 24 months</x:v>
      </x:c>
      <x:c r="C77" s="50" t="str">
        <x:v>RR</x:v>
      </x:c>
      <x:c r="D77" s="50" t="str">
        <x:v>Exclude all early-terminated trials</x:v>
      </x:c>
      <x:c r="E77" s="59" t="n">
        <x:v>2</x:v>
      </x:c>
      <x:c r="F77" s="62" t="n">
        <x:v>0.8237606397871372</x:v>
      </x:c>
      <x:c r="G77" s="62" t="n">
        <x:v>0.6672245404164605</x:v>
      </x:c>
      <x:c r="H77" s="62" t="n">
        <x:v>1.017021333236581</x:v>
      </x:c>
      <x:c r="I77" s="65" t="n">
        <x:v>0.0713880407286846</x:v>
      </x:c>
      <x:c r="J77" s="56" t="n">
        <x:v>0</x:v>
      </x:c>
    </x:row>
    <x:row r="78">
      <x:c r="A78" s="50" t="str">
        <x:v>6.1</x:v>
      </x:c>
      <x:c r="B78" s="50" t="str">
        <x:v>Mortality at 18 months</x:v>
      </x:c>
      <x:c r="C78" s="50" t="str">
        <x:v>RR</x:v>
      </x:c>
      <x:c r="D78" s="50" t="str">
        <x:v>Cochrane class pool</x:v>
      </x:c>
      <x:c r="E78" s="59" t="n">
        <x:v>7</x:v>
      </x:c>
      <x:c r="F78" s="62" t="n">
        <x:v>1.172699932526192</x:v>
      </x:c>
      <x:c r="G78" s="62" t="n">
        <x:v>0.6151622791578121</x:v>
      </x:c>
      <x:c r="H78" s="62" t="n">
        <x:v>2.235548534656072</x:v>
      </x:c>
      <x:c r="I78" s="65" t="n">
        <x:v>0.5678400901058178</x:v>
      </x:c>
      <x:c r="J78" s="56" t="n">
        <x:v>31.573527502497875</x:v>
      </x:c>
    </x:row>
    <x:row r="79">
      <x:c r="A79" s="50" t="str">
        <x:v>6.1</x:v>
      </x:c>
      <x:c r="B79" s="50" t="str">
        <x:v>Mortality at 18 months</x:v>
      </x:c>
      <x:c r="C79" s="50" t="str">
        <x:v>RR</x:v>
      </x:c>
      <x:c r="D79" s="50" t="str">
        <x:v>Exclude futility-terminated trials</x:v>
      </x:c>
      <x:c r="E79" s="59" t="n">
        <x:v>6</x:v>
      </x:c>
      <x:c r="F79" s="62" t="n">
        <x:v>1.253703494367707</x:v>
      </x:c>
      <x:c r="G79" s="62" t="n">
        <x:v>0.7155400652075709</x:v>
      </x:c>
      <x:c r="H79" s="62" t="n">
        <x:v>2.196623960300316</x:v>
      </x:c>
      <x:c r="I79" s="65" t="n">
        <x:v>0.3475296231744265</x:v>
      </x:c>
      <x:c r="J79" s="56" t="n">
        <x:v>30.824015654990806</x:v>
      </x:c>
    </x:row>
    <x:row r="80">
      <x:c r="A80" s="50" t="str">
        <x:v>6.1</x:v>
      </x:c>
      <x:c r="B80" s="50" t="str">
        <x:v>Mortality at 18 months</x:v>
      </x:c>
      <x:c r="C80" s="50" t="str">
        <x:v>RR</x:v>
      </x:c>
      <x:c r="D80" s="50" t="str">
        <x:v>Exclude all early-terminated trials</x:v>
      </x:c>
      <x:c r="E80" s="59" t="n">
        <x:v>6</x:v>
      </x:c>
      <x:c r="F80" s="62" t="n">
        <x:v>1.253703494367707</x:v>
      </x:c>
      <x:c r="G80" s="62" t="n">
        <x:v>0.7155400652075709</x:v>
      </x:c>
      <x:c r="H80" s="62" t="n">
        <x:v>2.196623960300316</x:v>
      </x:c>
      <x:c r="I80" s="65" t="n">
        <x:v>0.3475296231744265</x:v>
      </x:c>
      <x:c r="J80" s="56" t="n">
        <x:v>30.824015654990806</x:v>
      </x:c>
    </x:row>
    <x:row r="81">
      <x:c r="A81" s="50" t="str">
        <x:v>6.2</x:v>
      </x:c>
      <x:c r="B81" s="50" t="str">
        <x:v>Mortality at 24 months</x:v>
      </x:c>
      <x:c r="C81" s="50" t="str">
        <x:v>RR</x:v>
      </x:c>
      <x:c r="D81" s="50" t="str">
        <x:v>Cochrane class pool</x:v>
      </x:c>
      <x:c r="E81" s="59" t="n">
        <x:v>4</x:v>
      </x:c>
      <x:c r="F81" s="62" t="n">
        <x:v>1.054613984226481</x:v>
      </x:c>
      <x:c r="G81" s="62" t="n">
        <x:v>0.2914924045683833</x:v>
      </x:c>
      <x:c r="H81" s="62" t="n">
        <x:v>3.815573367590551</x:v>
      </x:c>
      <x:c r="I81" s="65" t="n">
        <x:v>0.9036308770545904</x:v>
      </x:c>
      <x:c r="J81" s="56" t="n">
        <x:v>7.878428238569578</x:v>
      </x:c>
    </x:row>
    <x:row r="82">
      <x:c r="A82" s="50" t="str">
        <x:v>6.2</x:v>
      </x:c>
      <x:c r="B82" s="50" t="str">
        <x:v>Mortality at 24 months</x:v>
      </x:c>
      <x:c r="C82" s="50" t="str">
        <x:v>RR</x:v>
      </x:c>
      <x:c r="D82" s="50" t="str">
        <x:v>Exclude futility-terminated trials</x:v>
      </x:c>
      <x:c r="E82" s="59" t="n">
        <x:v>1</x:v>
      </x:c>
      <x:c r="F82" s="62" t="n">
        <x:v>3.546255506607929</x:v>
      </x:c>
      <x:c r="G82" s="62" t="n">
        <x:v>0.1836978958395782</x:v>
      </x:c>
      <x:c r="H82" s="62" t="n">
        <x:v>68.45983760820818</x:v>
      </x:c>
      <x:c r="I82" s="65" t="n">
        <x:v>0.4019689066760839</x:v>
      </x:c>
      <x:c r="J82" s="56"/>
    </x:row>
    <x:row r="83">
      <x:c r="A83" s="50" t="str">
        <x:v>6.3</x:v>
      </x:c>
      <x:c r="B83" s="50" t="str">
        <x:v>Mortality above 24 months</x:v>
      </x:c>
      <x:c r="C83" s="50" t="str">
        <x:v>RR</x:v>
      </x:c>
      <x:c r="D83" s="50" t="str">
        <x:v>Cochrane class pool</x:v>
      </x:c>
      <x:c r="E83" s="59" t="n">
        <x:v>2</x:v>
      </x:c>
      <x:c r="F83" s="62" t="n">
        <x:v>0.6972000337432346</x:v>
      </x:c>
      <x:c r="G83" s="62" t="n">
        <x:v>0.1251357066798499</x:v>
      </x:c>
      <x:c r="H83" s="62" t="n">
        <x:v>3.884485890947067</x:v>
      </x:c>
      <x:c r="I83" s="65" t="n">
        <x:v>0.6806620419187537</x:v>
      </x:c>
      <x:c r="J83" s="56" t="n">
        <x:v>73.3779120362122</x:v>
      </x:c>
    </x:row>
    <x:row r="84">
      <x:c r="A84" s="50" t="str">
        <x:v>6.3</x:v>
      </x:c>
      <x:c r="B84" s="50" t="str">
        <x:v>Mortality above 24 months</x:v>
      </x:c>
      <x:c r="C84" s="50" t="str">
        <x:v>RR</x:v>
      </x:c>
      <x:c r="D84" s="50" t="str">
        <x:v>Exclude futility-terminated trials</x:v>
      </x:c>
      <x:c r="E84" s="59" t="n">
        <x:v>2</x:v>
      </x:c>
      <x:c r="F84" s="62" t="n">
        <x:v>0.6972000337432346</x:v>
      </x:c>
      <x:c r="G84" s="62" t="n">
        <x:v>0.1251357066798499</x:v>
      </x:c>
      <x:c r="H84" s="62" t="n">
        <x:v>3.884485890947067</x:v>
      </x:c>
      <x:c r="I84" s="65" t="n">
        <x:v>0.6806620419187537</x:v>
      </x:c>
      <x:c r="J84" s="56" t="n">
        <x:v>73.3779120362122</x:v>
      </x:c>
    </x:row>
    <x:row r="85">
      <x:c r="A85" s="50" t="str">
        <x:v>6.3</x:v>
      </x:c>
      <x:c r="B85" s="50" t="str">
        <x:v>Mortality above 24 months</x:v>
      </x:c>
      <x:c r="C85" s="50" t="str">
        <x:v>RR</x:v>
      </x:c>
      <x:c r="D85" s="50" t="str">
        <x:v>Exclude all early-terminated trials</x:v>
      </x:c>
      <x:c r="E85" s="59" t="n">
        <x:v>2</x:v>
      </x:c>
      <x:c r="F85" s="62" t="n">
        <x:v>0.6972000337432346</x:v>
      </x:c>
      <x:c r="G85" s="62" t="n">
        <x:v>0.1251357066798499</x:v>
      </x:c>
      <x:c r="H85" s="62" t="n">
        <x:v>3.884485890947067</x:v>
      </x:c>
      <x:c r="I85" s="65" t="n">
        <x:v>0.6806620419187537</x:v>
      </x:c>
      <x:c r="J85" s="56" t="n">
        <x:v>73.3779120362122</x:v>
      </x:c>
    </x:row>
    <x:row r="86">
      <x:c r="A86" s="50" t="str">
        <x:v>7.1</x:v>
      </x:c>
      <x:c r="B86" s="50" t="str">
        <x:v>NPI-Q score at 12 months</x:v>
      </x:c>
      <x:c r="C86" s="50" t="str">
        <x:v>SMD</x:v>
      </x:c>
      <x:c r="D86" s="50" t="str">
        <x:v>Cochrane class pool</x:v>
      </x:c>
      <x:c r="E86" s="59" t="n">
        <x:v>1</x:v>
      </x:c>
      <x:c r="F86" s="62" t="n">
        <x:v>0.08604846600191733</x:v>
      </x:c>
      <x:c r="G86" s="62" t="n">
        <x:v>-0.1834920094196857</x:v>
      </x:c>
      <x:c r="H86" s="62" t="n">
        <x:v>0.3555889414235204</x:v>
      </x:c>
      <x:c r="I86" s="65" t="n">
        <x:v>0.5315107139042438</x:v>
      </x:c>
      <x:c r="J86" s="56"/>
    </x:row>
    <x:row r="87">
      <x:c r="A87" s="50" t="str">
        <x:v>7.2</x:v>
      </x:c>
      <x:c r="B87" s="50" t="str">
        <x:v>NPI-Q score at 18 months</x:v>
      </x:c>
      <x:c r="C87" s="50" t="str">
        <x:v>SMD</x:v>
      </x:c>
      <x:c r="D87" s="50" t="str">
        <x:v>Cochrane class pool</x:v>
      </x:c>
      <x:c r="E87" s="59" t="n">
        <x:v>2</x:v>
      </x:c>
      <x:c r="F87" s="62" t="n">
        <x:v>0.1191993997701558</x:v>
      </x:c>
      <x:c r="G87" s="62" t="n">
        <x:v>-0.1747924558477071</x:v>
      </x:c>
      <x:c r="H87" s="62" t="n">
        <x:v>0.4131912553880188</x:v>
      </x:c>
      <x:c r="I87" s="65" t="n">
        <x:v>0.4268054428964087</x:v>
      </x:c>
      <x:c r="J87" s="56" t="n">
        <x:v>0</x:v>
      </x:c>
    </x:row>
    <x:row r="88">
      <x:c r="A88" s="50" t="str">
        <x:v>7.2</x:v>
      </x:c>
      <x:c r="B88" s="50" t="str">
        <x:v>NPI-Q score at 18 months</x:v>
      </x:c>
      <x:c r="C88" s="50" t="str">
        <x:v>SMD</x:v>
      </x:c>
      <x:c r="D88" s="50" t="str">
        <x:v>Exclude futility-terminated trials</x:v>
      </x:c>
      <x:c r="E88" s="59" t="n">
        <x:v>1</x:v>
      </x:c>
      <x:c r="F88" s="62" t="n">
        <x:v>0.5168562568898105</x:v>
      </x:c>
      <x:c r="G88" s="62" t="n">
        <x:v>-0.9579855762756353</x:v>
      </x:c>
      <x:c r="H88" s="62" t="n">
        <x:v>1.991698090055256</x:v>
      </x:c>
      <x:c r="I88" s="65" t="n">
        <x:v>0.4921667733628572</x:v>
      </x:c>
      <x:c r="J88" s="56"/>
    </x:row>
    <x:row r="89">
      <x:c r="A89" s="50" t="str">
        <x:v>8.1</x:v>
      </x:c>
      <x:c r="B89" s="50" t="str">
        <x:v>Infusion reaction at 18 months</x:v>
      </x:c>
      <x:c r="C89" s="50" t="str">
        <x:v>RR</x:v>
      </x:c>
      <x:c r="D89" s="50" t="str">
        <x:v>Cochrane class pool</x:v>
      </x:c>
      <x:c r="E89" s="59" t="n">
        <x:v>3</x:v>
      </x:c>
      <x:c r="F89" s="62" t="n">
        <x:v>3.580414000675479</x:v>
      </x:c>
      <x:c r="G89" s="62" t="n">
        <x:v>0.06906491805724485</x:v>
      </x:c>
      <x:c r="H89" s="62" t="n">
        <x:v>185.61325745159925</x:v>
      </x:c>
      <x:c r="I89" s="65" t="n">
        <x:v>0.2990275366168896</x:v>
      </x:c>
      <x:c r="J89" s="56" t="n">
        <x:v>97.19728094012108</x:v>
      </x:c>
    </x:row>
    <x:row r="90">
      <x:c r="A90" s="50" t="str">
        <x:v>8.1</x:v>
      </x:c>
      <x:c r="B90" s="50" t="str">
        <x:v>Infusion reaction at 18 months</x:v>
      </x:c>
      <x:c r="C90" s="50" t="str">
        <x:v>RR</x:v>
      </x:c>
      <x:c r="D90" s="50" t="str">
        <x:v>Exclude futility-terminated trials</x:v>
      </x:c>
      <x:c r="E90" s="59" t="n">
        <x:v>2</x:v>
      </x:c>
      <x:c r="F90" s="62" t="n">
        <x:v>7.662918735750597</x:v>
      </x:c>
      <x:c r="G90" s="62" t="n">
        <x:v>1.50871167336935</x:v>
      </x:c>
      <x:c r="H90" s="62" t="n">
        <x:v>38.92083861164777</x:v>
      </x:c>
      <x:c r="I90" s="65" t="n">
        <x:v>0.01405122319592295</x:v>
      </x:c>
      <x:c r="J90" s="56" t="n">
        <x:v>89.95729838569783</x:v>
      </x:c>
    </x:row>
    <x:row r="91">
      <x:c r="A91" s="50" t="str">
        <x:v>8.1</x:v>
      </x:c>
      <x:c r="B91" s="50" t="str">
        <x:v>Infusion reaction at 18 months</x:v>
      </x:c>
      <x:c r="C91" s="50" t="str">
        <x:v>RR</x:v>
      </x:c>
      <x:c r="D91" s="50" t="str">
        <x:v>Exclude all early-terminated trials</x:v>
      </x:c>
      <x:c r="E91" s="59" t="n">
        <x:v>2</x:v>
      </x:c>
      <x:c r="F91" s="62" t="n">
        <x:v>7.662918735750597</x:v>
      </x:c>
      <x:c r="G91" s="62" t="n">
        <x:v>1.50871167336935</x:v>
      </x:c>
      <x:c r="H91" s="62" t="n">
        <x:v>38.92083861164777</x:v>
      </x:c>
      <x:c r="I91" s="65" t="n">
        <x:v>0.01405122319592295</x:v>
      </x:c>
      <x:c r="J91" s="56" t="n">
        <x:v>89.95729838569783</x:v>
      </x:c>
    </x:row>
    <x:row r="92">
      <x:c r="A92" s="50" t="str">
        <x:v>8.2</x:v>
      </x:c>
      <x:c r="B92" s="50" t="str">
        <x:v>Infusion reaction at 24 months</x:v>
      </x:c>
      <x:c r="C92" s="50" t="str">
        <x:v>RR</x:v>
      </x:c>
      <x:c r="D92" s="50" t="str">
        <x:v>Cochrane class pool</x:v>
      </x:c>
      <x:c r="E92" s="59" t="n">
        <x:v>1</x:v>
      </x:c>
      <x:c r="F92" s="62" t="n">
        <x:v>1.149178942284472</x:v>
      </x:c>
      <x:c r="G92" s="62" t="n">
        <x:v>0.7737788248778547</x:v>
      </x:c>
      <x:c r="H92" s="62" t="n">
        <x:v>1.706705067302049</x:v>
      </x:c>
      <x:c r="I92" s="65" t="n">
        <x:v>0.4907956322652618</x:v>
      </x:c>
      <x:c r="J92" s="56"/>
    </x:row>
    <x:row r="93">
      <x:c r="A93" s="50" t="str">
        <x:v>9.1</x:v>
      </x:c>
      <x:c r="B93" s="50" t="str">
        <x:v>Study discontinuation at 18 months</x:v>
      </x:c>
      <x:c r="C93" s="50" t="str">
        <x:v>RR</x:v>
      </x:c>
      <x:c r="D93" s="50" t="str">
        <x:v>Cochrane class pool</x:v>
      </x:c>
      <x:c r="E93" s="59" t="n">
        <x:v>11</x:v>
      </x:c>
      <x:c r="F93" s="62" t="n">
        <x:v>1.12069436507818</x:v>
      </x:c>
      <x:c r="G93" s="62" t="n">
        <x:v>1.020569085776655</x:v>
      </x:c>
      <x:c r="H93" s="62" t="n">
        <x:v>1.230642665373507</x:v>
      </x:c>
      <x:c r="I93" s="65" t="n">
        <x:v>0.02182552233863456</x:v>
      </x:c>
      <x:c r="J93" s="56" t="n">
        <x:v>49.554731620791884</x:v>
      </x:c>
    </x:row>
    <x:row r="94">
      <x:c r="A94" s="50" t="str">
        <x:v>9.1</x:v>
      </x:c>
      <x:c r="B94" s="50" t="str">
        <x:v>Study discontinuation at 18 months</x:v>
      </x:c>
      <x:c r="C94" s="50" t="str">
        <x:v>RR</x:v>
      </x:c>
      <x:c r="D94" s="50" t="str">
        <x:v>Exclude futility-terminated trials</x:v>
      </x:c>
      <x:c r="E94" s="59" t="n">
        <x:v>8</x:v>
      </x:c>
      <x:c r="F94" s="62" t="n">
        <x:v>1.094865043171826</x:v>
      </x:c>
      <x:c r="G94" s="62" t="n">
        <x:v>0.975234787266681</x:v>
      </x:c>
      <x:c r="H94" s="62" t="n">
        <x:v>1.22917012232445</x:v>
      </x:c>
      <x:c r="I94" s="65" t="n">
        <x:v>0.1064311876264151</x:v>
      </x:c>
      <x:c r="J94" s="56" t="n">
        <x:v>57.71107193589428</x:v>
      </x:c>
    </x:row>
    <x:row r="95">
      <x:c r="A95" s="50" t="str">
        <x:v>9.1</x:v>
      </x:c>
      <x:c r="B95" s="50" t="str">
        <x:v>Study discontinuation at 18 months</x:v>
      </x:c>
      <x:c r="C95" s="50" t="str">
        <x:v>RR</x:v>
      </x:c>
      <x:c r="D95" s="50" t="str">
        <x:v>Exclude all early-terminated trials</x:v>
      </x:c>
      <x:c r="E95" s="59" t="n">
        <x:v>6</x:v>
      </x:c>
      <x:c r="F95" s="62" t="n">
        <x:v>1.123735951757978</x:v>
      </x:c>
      <x:c r="G95" s="62" t="n">
        <x:v>0.9563543981977306</x:v>
      </x:c>
      <x:c r="H95" s="62" t="n">
        <x:v>1.320412696018493</x:v>
      </x:c>
      <x:c r="I95" s="65" t="n">
        <x:v>0.1220778201885251</x:v>
      </x:c>
      <x:c r="J95" s="56" t="n">
        <x:v>58.930562054410665</x:v>
      </x:c>
    </x:row>
    <x:row r="96">
      <x:c r="A96" s="50" t="str">
        <x:v>9.2</x:v>
      </x:c>
      <x:c r="B96" s="50" t="str">
        <x:v>Study discontinuation at 24 months</x:v>
      </x:c>
      <x:c r="C96" s="50" t="str">
        <x:v>RR</x:v>
      </x:c>
      <x:c r="D96" s="50" t="str">
        <x:v>Cochrane class pool</x:v>
      </x:c>
      <x:c r="E96" s="59" t="n">
        <x:v>2</x:v>
      </x:c>
      <x:c r="F96" s="62" t="n">
        <x:v>1.008741777821183</x:v>
      </x:c>
      <x:c r="G96" s="62" t="n">
        <x:v>0.9411188324553127</x:v>
      </x:c>
      <x:c r="H96" s="62" t="n">
        <x:v>1.081223687413734</x:v>
      </x:c>
      <x:c r="I96" s="65" t="n">
        <x:v>0.8058020547192903</x:v>
      </x:c>
      <x:c r="J96" s="56" t="n">
        <x:v>0</x:v>
      </x:c>
    </x:row>
    <x:row r="97">
      <x:c r="A97" s="50" t="str">
        <x:v>9.3</x:v>
      </x:c>
      <x:c r="B97" s="50" t="str">
        <x:v>Study discontinuation above 24 months</x:v>
      </x:c>
      <x:c r="C97" s="50" t="str">
        <x:v>RR</x:v>
      </x:c>
      <x:c r="D97" s="50" t="str">
        <x:v>Cochrane class pool</x:v>
      </x:c>
      <x:c r="E97" s="59" t="n">
        <x:v>2</x:v>
      </x:c>
      <x:c r="F97" s="62" t="n">
        <x:v>1.355002688994968</x:v>
      </x:c>
      <x:c r="G97" s="62" t="n">
        <x:v>1.109422105329669</x:v>
      </x:c>
      <x:c r="H97" s="62" t="n">
        <x:v>1.654944748588734</x:v>
      </x:c>
      <x:c r="I97" s="65" t="n">
        <x:v>0.002903706094042277</x:v>
      </x:c>
      <x:c r="J97" s="56" t="n">
        <x:v>26.853249664784688</x:v>
      </x:c>
    </x:row>
    <x:row r="98">
      <x:c r="A98" s="50" t="str">
        <x:v>9.3</x:v>
      </x:c>
      <x:c r="B98" s="50" t="str">
        <x:v>Study discontinuation above 24 months</x:v>
      </x:c>
      <x:c r="C98" s="50" t="str">
        <x:v>RR</x:v>
      </x:c>
      <x:c r="D98" s="50" t="str">
        <x:v>Exclude futility-terminated trials</x:v>
      </x:c>
      <x:c r="E98" s="59" t="n">
        <x:v>2</x:v>
      </x:c>
      <x:c r="F98" s="62" t="n">
        <x:v>1.355002688994968</x:v>
      </x:c>
      <x:c r="G98" s="62" t="n">
        <x:v>1.109422105329669</x:v>
      </x:c>
      <x:c r="H98" s="62" t="n">
        <x:v>1.654944748588734</x:v>
      </x:c>
      <x:c r="I98" s="65" t="n">
        <x:v>0.002903706094042277</x:v>
      </x:c>
      <x:c r="J98" s="56" t="n">
        <x:v>26.853249664784688</x:v>
      </x:c>
    </x:row>
    <x:row r="99">
      <x:c r="A99" s="51" t="str">
        <x:v>9.3</x:v>
      </x:c>
      <x:c r="B99" s="51" t="str">
        <x:v>Study discontinuation above 24 months</x:v>
      </x:c>
      <x:c r="C99" s="51" t="str">
        <x:v>RR</x:v>
      </x:c>
      <x:c r="D99" s="51" t="str">
        <x:v>Exclude all early-terminated trials</x:v>
      </x:c>
      <x:c r="E99" s="60" t="n">
        <x:v>2</x:v>
      </x:c>
      <x:c r="F99" s="63" t="n">
        <x:v>1.355002688994968</x:v>
      </x:c>
      <x:c r="G99" s="63" t="n">
        <x:v>1.109422105329669</x:v>
      </x:c>
      <x:c r="H99" s="63" t="n">
        <x:v>1.654944748588734</x:v>
      </x:c>
      <x:c r="I99" s="66" t="n">
        <x:v>0.002903706094042277</x:v>
      </x:c>
      <x:c r="J99" s="57" t="n">
        <x:v>26.853249664784688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a6222de622e4d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5" hidden="0" customWidth="1"/>
    <x:col min="10" max="10" width="46" hidden="0" customWidth="1"/>
  </x:cols>
  <x:sheetData>
    <x:row r="1" ht="34" customHeight="1">
      <x:c r="A1" s="3" t="str">
        <x:v>MID and MCID compatibility</x:v>
      </x:c>
    </x:row>
    <x:row r="2" ht="32" customHeight="1">
      <x:c r="A2" s="7" t="str">
        <x:v>Short-horizon thresholds cited by Cochrane; sensitivity analysis only, not newly endorsed benchmarks.</x:v>
      </x:c>
    </x:row>
    <x:row r="4" ht="28" customHeight="1">
      <x:c r="A4" s="39" t="str">
        <x:v>ID</x:v>
      </x:c>
      <x:c r="B4" s="40" t="str">
        <x:v>Outcome</x:v>
      </x:c>
      <x:c r="C4" s="40" t="str">
        <x:v>Scenario</x:v>
      </x:c>
      <x:c r="D4" s="40" t="str">
        <x:v>k</x:v>
      </x:c>
      <x:c r="E4" s="40" t="str">
        <x:v>Benefit</x:v>
      </x:c>
      <x:c r="F4" s="40" t="str">
        <x:v>Benefit CI low</x:v>
      </x:c>
      <x:c r="G4" s="40" t="str">
        <x:v>Benefit CI high</x:v>
      </x:c>
      <x:c r="H4" s="40" t="str">
        <x:v>Threshold</x:v>
      </x:c>
      <x:c r="I4" s="40" t="str">
        <x:v>Compatibility</x:v>
      </x:c>
      <x:c r="J4" s="41" t="str">
        <x:v>Horizon caution</x:v>
      </x:c>
    </x:row>
    <x:row r="5">
      <x:c r="A5" s="49" t="str">
        <x:v>1.1</x:v>
      </x:c>
      <x:c r="B5" s="49" t="str">
        <x:v>ADAS-Cog scale at 18 months</x:v>
      </x:c>
      <x:c r="C5" s="49" t="str">
        <x:v>Cochrane class pool</x:v>
      </x:c>
      <x:c r="D5" s="58" t="n">
        <x:v>13</x:v>
      </x:c>
      <x:c r="E5" s="52" t="n">
        <x:v>1.085671383197447</x:v>
      </x:c>
      <x:c r="F5" s="52" t="n">
        <x:v>0.6573698946977925</x:v>
      </x:c>
      <x:c r="G5" s="52" t="n">
        <x:v>1.513972871697102</x:v>
      </x:c>
      <x:c r="H5" s="55" t="n">
        <x:v>2</x:v>
      </x:c>
      <x:c r="I5" s="49" t="str">
        <x:v>Threshold excluded by 95% CI</x:v>
      </x:c>
      <x:c r="J5" s="49" t="str">
        <x:v>18-month use still exceeds cited 6-12 month derivation</x:v>
      </x:c>
    </x:row>
    <x:row r="6">
      <x:c r="A6" s="50" t="str">
        <x:v>1.1</x:v>
      </x:c>
      <x:c r="B6" s="50" t="str">
        <x:v>ADAS-Cog scale at 18 months</x:v>
      </x:c>
      <x:c r="C6" s="50" t="str">
        <x:v>Cochrane class pool</x:v>
      </x:c>
      <x:c r="D6" s="59" t="n">
        <x:v>13</x:v>
      </x:c>
      <x:c r="E6" s="53" t="n">
        <x:v>1.085671383197447</x:v>
      </x:c>
      <x:c r="F6" s="53" t="n">
        <x:v>0.6573698946977925</x:v>
      </x:c>
      <x:c r="G6" s="53" t="n">
        <x:v>1.513972871697102</x:v>
      </x:c>
      <x:c r="H6" s="56" t="n">
        <x:v>3</x:v>
      </x:c>
      <x:c r="I6" s="50" t="str">
        <x:v>Threshold excluded by 95% CI</x:v>
      </x:c>
      <x:c r="J6" s="50" t="str">
        <x:v>18-month use still exceeds cited 6-12 month derivation</x:v>
      </x:c>
    </x:row>
    <x:row r="7">
      <x:c r="A7" s="50" t="str">
        <x:v>1.1</x:v>
      </x:c>
      <x:c r="B7" s="50" t="str">
        <x:v>ADAS-Cog scale at 18 months</x:v>
      </x:c>
      <x:c r="C7" s="50" t="str">
        <x:v>Cochrane class pool</x:v>
      </x:c>
      <x:c r="D7" s="59" t="n">
        <x:v>13</x:v>
      </x:c>
      <x:c r="E7" s="53" t="n">
        <x:v>1.085671383197447</x:v>
      </x:c>
      <x:c r="F7" s="53" t="n">
        <x:v>0.6573698946977925</x:v>
      </x:c>
      <x:c r="G7" s="53" t="n">
        <x:v>1.513972871697102</x:v>
      </x:c>
      <x:c r="H7" s="56" t="n">
        <x:v>4</x:v>
      </x:c>
      <x:c r="I7" s="50" t="str">
        <x:v>Threshold excluded by 95% CI</x:v>
      </x:c>
      <x:c r="J7" s="50" t="str">
        <x:v>18-month use still exceeds cited 6-12 month derivation</x:v>
      </x:c>
    </x:row>
    <x:row r="8">
      <x:c r="A8" s="50" t="str">
        <x:v>1.1</x:v>
      </x:c>
      <x:c r="B8" s="50" t="str">
        <x:v>ADAS-Cog scale at 18 months</x:v>
      </x:c>
      <x:c r="C8" s="50" t="str">
        <x:v>Currently active agents: lecanemab + donanemab</x:v>
      </x:c>
      <x:c r="D8" s="59" t="n">
        <x:v>2</x:v>
      </x:c>
      <x:c r="E8" s="53" t="n">
        <x:v>1.395814056053547</x:v>
      </x:c>
      <x:c r="F8" s="53" t="n">
        <x:v>0.8033771601713214</x:v>
      </x:c>
      <x:c r="G8" s="53" t="n">
        <x:v>1.988250951935773</x:v>
      </x:c>
      <x:c r="H8" s="56" t="n">
        <x:v>2</x:v>
      </x:c>
      <x:c r="I8" s="50" t="str">
        <x:v>Threshold excluded by 95% CI</x:v>
      </x:c>
      <x:c r="J8" s="50" t="str">
        <x:v>18-month use still exceeds cited 6-12 month derivation</x:v>
      </x:c>
    </x:row>
    <x:row r="9">
      <x:c r="A9" s="50" t="str">
        <x:v>1.1</x:v>
      </x:c>
      <x:c r="B9" s="50" t="str">
        <x:v>ADAS-Cog scale at 18 months</x:v>
      </x:c>
      <x:c r="C9" s="50" t="str">
        <x:v>Currently active agents: lecanemab + donanemab</x:v>
      </x:c>
      <x:c r="D9" s="59" t="n">
        <x:v>2</x:v>
      </x:c>
      <x:c r="E9" s="53" t="n">
        <x:v>1.395814056053547</x:v>
      </x:c>
      <x:c r="F9" s="53" t="n">
        <x:v>0.8033771601713214</x:v>
      </x:c>
      <x:c r="G9" s="53" t="n">
        <x:v>1.988250951935773</x:v>
      </x:c>
      <x:c r="H9" s="56" t="n">
        <x:v>3</x:v>
      </x:c>
      <x:c r="I9" s="50" t="str">
        <x:v>Threshold excluded by 95% CI</x:v>
      </x:c>
      <x:c r="J9" s="50" t="str">
        <x:v>18-month use still exceeds cited 6-12 month derivation</x:v>
      </x:c>
    </x:row>
    <x:row r="10">
      <x:c r="A10" s="50" t="str">
        <x:v>1.1</x:v>
      </x:c>
      <x:c r="B10" s="50" t="str">
        <x:v>ADAS-Cog scale at 18 months</x:v>
      </x:c>
      <x:c r="C10" s="50" t="str">
        <x:v>Currently active agents: lecanemab + donanemab</x:v>
      </x:c>
      <x:c r="D10" s="59" t="n">
        <x:v>2</x:v>
      </x:c>
      <x:c r="E10" s="53" t="n">
        <x:v>1.395814056053547</x:v>
      </x:c>
      <x:c r="F10" s="53" t="n">
        <x:v>0.8033771601713214</x:v>
      </x:c>
      <x:c r="G10" s="53" t="n">
        <x:v>1.988250951935773</x:v>
      </x:c>
      <x:c r="H10" s="56" t="n">
        <x:v>4</x:v>
      </x:c>
      <x:c r="I10" s="50" t="str">
        <x:v>Threshold excluded by 95% CI</x:v>
      </x:c>
      <x:c r="J10" s="50" t="str">
        <x:v>18-month use still exceeds cited 6-12 month derivation</x:v>
      </x:c>
    </x:row>
    <x:row r="11">
      <x:c r="A11" s="50" t="str">
        <x:v>1.1</x:v>
      </x:c>
      <x:c r="B11" s="50" t="str">
        <x:v>ADAS-Cog scale at 18 months</x:v>
      </x:c>
      <x:c r="C11" s="50" t="str">
        <x:v>Response primary: clearing approved-generation trials</x:v>
      </x:c>
      <x:c r="D11" s="59" t="n">
        <x:v>4</x:v>
      </x:c>
      <x:c r="E11" s="53" t="n">
        <x:v>1.311870088266638</x:v>
      </x:c>
      <x:c r="F11" s="53" t="n">
        <x:v>0.8502640813209852</x:v>
      </x:c>
      <x:c r="G11" s="53" t="n">
        <x:v>1.77347609521229</x:v>
      </x:c>
      <x:c r="H11" s="56" t="n">
        <x:v>2</x:v>
      </x:c>
      <x:c r="I11" s="50" t="str">
        <x:v>Threshold excluded by 95% CI</x:v>
      </x:c>
      <x:c r="J11" s="50" t="str">
        <x:v>18-month use still exceeds cited 6-12 month derivation</x:v>
      </x:c>
    </x:row>
    <x:row r="12">
      <x:c r="A12" s="50" t="str">
        <x:v>1.1</x:v>
      </x:c>
      <x:c r="B12" s="50" t="str">
        <x:v>ADAS-Cog scale at 18 months</x:v>
      </x:c>
      <x:c r="C12" s="50" t="str">
        <x:v>Response primary: clearing approved-generation trials</x:v>
      </x:c>
      <x:c r="D12" s="59" t="n">
        <x:v>4</x:v>
      </x:c>
      <x:c r="E12" s="53" t="n">
        <x:v>1.311870088266638</x:v>
      </x:c>
      <x:c r="F12" s="53" t="n">
        <x:v>0.8502640813209852</x:v>
      </x:c>
      <x:c r="G12" s="53" t="n">
        <x:v>1.77347609521229</x:v>
      </x:c>
      <x:c r="H12" s="56" t="n">
        <x:v>3</x:v>
      </x:c>
      <x:c r="I12" s="50" t="str">
        <x:v>Threshold excluded by 95% CI</x:v>
      </x:c>
      <x:c r="J12" s="50" t="str">
        <x:v>18-month use still exceeds cited 6-12 month derivation</x:v>
      </x:c>
    </x:row>
    <x:row r="13">
      <x:c r="A13" s="50" t="str">
        <x:v>1.1</x:v>
      </x:c>
      <x:c r="B13" s="50" t="str">
        <x:v>ADAS-Cog scale at 18 months</x:v>
      </x:c>
      <x:c r="C13" s="50" t="str">
        <x:v>Response primary: clearing approved-generation trials</x:v>
      </x:c>
      <x:c r="D13" s="59" t="n">
        <x:v>4</x:v>
      </x:c>
      <x:c r="E13" s="53" t="n">
        <x:v>1.311870088266638</x:v>
      </x:c>
      <x:c r="F13" s="53" t="n">
        <x:v>0.8502640813209852</x:v>
      </x:c>
      <x:c r="G13" s="53" t="n">
        <x:v>1.77347609521229</x:v>
      </x:c>
      <x:c r="H13" s="56" t="n">
        <x:v>4</x:v>
      </x:c>
      <x:c r="I13" s="50" t="str">
        <x:v>Threshold excluded by 95% CI</x:v>
      </x:c>
      <x:c r="J13" s="50" t="str">
        <x:v>18-month use still exceeds cited 6-12 month derivation</x:v>
      </x:c>
    </x:row>
    <x:row r="14">
      <x:c r="A14" s="50" t="str">
        <x:v>1.3</x:v>
      </x:c>
      <x:c r="B14" s="50" t="str">
        <x:v>ADAS-Cog scale above 24 months</x:v>
      </x:c>
      <x:c r="C14" s="50" t="str">
        <x:v>Cochrane class pool</x:v>
      </x:c>
      <x:c r="D14" s="59" t="n">
        <x:v>2</x:v>
      </x:c>
      <x:c r="E14" s="53" t="n">
        <x:v>1.267015483438359</x:v>
      </x:c>
      <x:c r="F14" s="53" t="n">
        <x:v>0.3144011116366178</x:v>
      </x:c>
      <x:c r="G14" s="53" t="n">
        <x:v>2.219629855240101</x:v>
      </x:c>
      <x:c r="H14" s="56" t="n">
        <x:v>2</x:v>
      </x:c>
      <x:c r="I14" s="50" t="str">
        <x:v>95% CI compatible with threshold</x:v>
      </x:c>
      <x:c r="J14" s="50" t="str">
        <x:v>Threshold originated from shorter follow-up</x:v>
      </x:c>
    </x:row>
    <x:row r="15">
      <x:c r="A15" s="50" t="str">
        <x:v>1.3</x:v>
      </x:c>
      <x:c r="B15" s="50" t="str">
        <x:v>ADAS-Cog scale above 24 months</x:v>
      </x:c>
      <x:c r="C15" s="50" t="str">
        <x:v>Cochrane class pool</x:v>
      </x:c>
      <x:c r="D15" s="59" t="n">
        <x:v>2</x:v>
      </x:c>
      <x:c r="E15" s="53" t="n">
        <x:v>1.267015483438359</x:v>
      </x:c>
      <x:c r="F15" s="53" t="n">
        <x:v>0.3144011116366178</x:v>
      </x:c>
      <x:c r="G15" s="53" t="n">
        <x:v>2.219629855240101</x:v>
      </x:c>
      <x:c r="H15" s="56" t="n">
        <x:v>3</x:v>
      </x:c>
      <x:c r="I15" s="50" t="str">
        <x:v>Threshold excluded by 95% CI</x:v>
      </x:c>
      <x:c r="J15" s="50" t="str">
        <x:v>Threshold originated from shorter follow-up</x:v>
      </x:c>
    </x:row>
    <x:row r="16">
      <x:c r="A16" s="50" t="str">
        <x:v>1.3</x:v>
      </x:c>
      <x:c r="B16" s="50" t="str">
        <x:v>ADAS-Cog scale above 24 months</x:v>
      </x:c>
      <x:c r="C16" s="50" t="str">
        <x:v>Cochrane class pool</x:v>
      </x:c>
      <x:c r="D16" s="59" t="n">
        <x:v>2</x:v>
      </x:c>
      <x:c r="E16" s="53" t="n">
        <x:v>1.267015483438359</x:v>
      </x:c>
      <x:c r="F16" s="53" t="n">
        <x:v>0.3144011116366178</x:v>
      </x:c>
      <x:c r="G16" s="53" t="n">
        <x:v>2.219629855240101</x:v>
      </x:c>
      <x:c r="H16" s="56" t="n">
        <x:v>4</x:v>
      </x:c>
      <x:c r="I16" s="50" t="str">
        <x:v>Threshold excluded by 95% CI</x:v>
      </x:c>
      <x:c r="J16" s="50" t="str">
        <x:v>Threshold originated from shorter follow-up</x:v>
      </x:c>
    </x:row>
    <x:row r="17">
      <x:c r="A17" s="50" t="str">
        <x:v>2.1</x:v>
      </x:c>
      <x:c r="B17" s="50" t="str">
        <x:v>CDR-SB scale at 18 months</x:v>
      </x:c>
      <x:c r="C17" s="50" t="str">
        <x:v>Cochrane class pool</x:v>
      </x:c>
      <x:c r="D17" s="59" t="n">
        <x:v>9</x:v>
      </x:c>
      <x:c r="E17" s="53" t="n">
        <x:v>0.2916091699352105</x:v>
      </x:c>
      <x:c r="F17" s="53" t="n">
        <x:v>0.0004413102315771744</x:v>
      </x:c>
      <x:c r="G17" s="53" t="n">
        <x:v>0.5827770296388439</x:v>
      </x:c>
      <x:c r="H17" s="56" t="n">
        <x:v>1</x:v>
      </x:c>
      <x:c r="I17" s="50" t="str">
        <x:v>Threshold excluded by 95% CI</x:v>
      </x:c>
      <x:c r="J17" s="50" t="str">
        <x:v>18-month use still exceeds cited 6-12 month derivation</x:v>
      </x:c>
    </x:row>
    <x:row r="18">
      <x:c r="A18" s="50" t="str">
        <x:v>2.1</x:v>
      </x:c>
      <x:c r="B18" s="50" t="str">
        <x:v>CDR-SB scale at 18 months</x:v>
      </x:c>
      <x:c r="C18" s="50" t="str">
        <x:v>Cochrane class pool</x:v>
      </x:c>
      <x:c r="D18" s="59" t="n">
        <x:v>9</x:v>
      </x:c>
      <x:c r="E18" s="53" t="n">
        <x:v>0.2916091699352105</x:v>
      </x:c>
      <x:c r="F18" s="53" t="n">
        <x:v>0.0004413102315771744</x:v>
      </x:c>
      <x:c r="G18" s="53" t="n">
        <x:v>0.5827770296388439</x:v>
      </x:c>
      <x:c r="H18" s="56" t="n">
        <x:v>2</x:v>
      </x:c>
      <x:c r="I18" s="50" t="str">
        <x:v>Threshold excluded by 95% CI</x:v>
      </x:c>
      <x:c r="J18" s="50" t="str">
        <x:v>18-month use still exceeds cited 6-12 month derivation</x:v>
      </x:c>
    </x:row>
    <x:row r="19">
      <x:c r="A19" s="50" t="str">
        <x:v>2.1</x:v>
      </x:c>
      <x:c r="B19" s="50" t="str">
        <x:v>CDR-SB scale at 18 months</x:v>
      </x:c>
      <x:c r="C19" s="50" t="str">
        <x:v>Currently active agents: lecanemab + donanemab</x:v>
      </x:c>
      <x:c r="D19" s="59" t="n">
        <x:v>2</x:v>
      </x:c>
      <x:c r="E19" s="53" t="n">
        <x:v>0.5640644275317617</x:v>
      </x:c>
      <x:c r="F19" s="53" t="n">
        <x:v>0.3200082730997786</x:v>
      </x:c>
      <x:c r="G19" s="53" t="n">
        <x:v>0.8081205819637447</x:v>
      </x:c>
      <x:c r="H19" s="56" t="n">
        <x:v>1</x:v>
      </x:c>
      <x:c r="I19" s="50" t="str">
        <x:v>Threshold excluded by 95% CI</x:v>
      </x:c>
      <x:c r="J19" s="50" t="str">
        <x:v>18-month use still exceeds cited 6-12 month derivation</x:v>
      </x:c>
    </x:row>
    <x:row r="20">
      <x:c r="A20" s="50" t="str">
        <x:v>2.1</x:v>
      </x:c>
      <x:c r="B20" s="50" t="str">
        <x:v>CDR-SB scale at 18 months</x:v>
      </x:c>
      <x:c r="C20" s="50" t="str">
        <x:v>Currently active agents: lecanemab + donanemab</x:v>
      </x:c>
      <x:c r="D20" s="59" t="n">
        <x:v>2</x:v>
      </x:c>
      <x:c r="E20" s="53" t="n">
        <x:v>0.5640644275317617</x:v>
      </x:c>
      <x:c r="F20" s="53" t="n">
        <x:v>0.3200082730997786</x:v>
      </x:c>
      <x:c r="G20" s="53" t="n">
        <x:v>0.8081205819637447</x:v>
      </x:c>
      <x:c r="H20" s="56" t="n">
        <x:v>2</x:v>
      </x:c>
      <x:c r="I20" s="50" t="str">
        <x:v>Threshold excluded by 95% CI</x:v>
      </x:c>
      <x:c r="J20" s="50" t="str">
        <x:v>18-month use still exceeds cited 6-12 month derivation</x:v>
      </x:c>
    </x:row>
    <x:row r="21">
      <x:c r="A21" s="50" t="str">
        <x:v>2.1</x:v>
      </x:c>
      <x:c r="B21" s="50" t="str">
        <x:v>CDR-SB scale at 18 months</x:v>
      </x:c>
      <x:c r="C21" s="50" t="str">
        <x:v>Response primary: clearing approved-generation trials</x:v>
      </x:c>
      <x:c r="D21" s="59" t="n">
        <x:v>4</x:v>
      </x:c>
      <x:c r="E21" s="53" t="n">
        <x:v>0.3852628775661822</x:v>
      </x:c>
      <x:c r="F21" s="53" t="n">
        <x:v>-0.09087235979572532</x:v>
      </x:c>
      <x:c r="G21" s="53" t="n">
        <x:v>0.8613981149280898</x:v>
      </x:c>
      <x:c r="H21" s="56" t="n">
        <x:v>1</x:v>
      </x:c>
      <x:c r="I21" s="50" t="str">
        <x:v>Threshold excluded by 95% CI</x:v>
      </x:c>
      <x:c r="J21" s="50" t="str">
        <x:v>18-month use still exceeds cited 6-12 month derivation</x:v>
      </x:c>
    </x:row>
    <x:row r="22">
      <x:c r="A22" s="50" t="str">
        <x:v>2.1</x:v>
      </x:c>
      <x:c r="B22" s="50" t="str">
        <x:v>CDR-SB scale at 18 months</x:v>
      </x:c>
      <x:c r="C22" s="50" t="str">
        <x:v>Response primary: clearing approved-generation trials</x:v>
      </x:c>
      <x:c r="D22" s="59" t="n">
        <x:v>4</x:v>
      </x:c>
      <x:c r="E22" s="53" t="n">
        <x:v>0.3852628775661822</x:v>
      </x:c>
      <x:c r="F22" s="53" t="n">
        <x:v>-0.09087235979572532</x:v>
      </x:c>
      <x:c r="G22" s="53" t="n">
        <x:v>0.8613981149280898</x:v>
      </x:c>
      <x:c r="H22" s="56" t="n">
        <x:v>2</x:v>
      </x:c>
      <x:c r="I22" s="50" t="str">
        <x:v>Threshold excluded by 95% CI</x:v>
      </x:c>
      <x:c r="J22" s="50" t="str">
        <x:v>18-month use still exceeds cited 6-12 month derivation</x:v>
      </x:c>
    </x:row>
    <x:row r="23">
      <x:c r="A23" s="50" t="str">
        <x:v>2.3</x:v>
      </x:c>
      <x:c r="B23" s="50" t="str">
        <x:v>CDR-SB scale above 24 months</x:v>
      </x:c>
      <x:c r="C23" s="50" t="str">
        <x:v>Cochrane class pool</x:v>
      </x:c>
      <x:c r="D23" s="59" t="n">
        <x:v>2</x:v>
      </x:c>
      <x:c r="E23" s="53" t="n">
        <x:v>0.227514320809825</x:v>
      </x:c>
      <x:c r="F23" s="53" t="n">
        <x:v>-0.06185414496556835</x:v>
      </x:c>
      <x:c r="G23" s="53" t="n">
        <x:v>0.5168827865852184</x:v>
      </x:c>
      <x:c r="H23" s="56" t="n">
        <x:v>1</x:v>
      </x:c>
      <x:c r="I23" s="50" t="str">
        <x:v>Threshold excluded by 95% CI</x:v>
      </x:c>
      <x:c r="J23" s="50" t="str">
        <x:v>Threshold originated from shorter follow-up</x:v>
      </x:c>
    </x:row>
    <x:row r="24">
      <x:c r="A24" s="51" t="str">
        <x:v>2.3</x:v>
      </x:c>
      <x:c r="B24" s="51" t="str">
        <x:v>CDR-SB scale above 24 months</x:v>
      </x:c>
      <x:c r="C24" s="51" t="str">
        <x:v>Cochrane class pool</x:v>
      </x:c>
      <x:c r="D24" s="60" t="n">
        <x:v>2</x:v>
      </x:c>
      <x:c r="E24" s="54" t="n">
        <x:v>0.227514320809825</x:v>
      </x:c>
      <x:c r="F24" s="54" t="n">
        <x:v>-0.06185414496556835</x:v>
      </x:c>
      <x:c r="G24" s="54" t="n">
        <x:v>0.5168827865852184</x:v>
      </x:c>
      <x:c r="H24" s="57" t="n">
        <x:v>2</x:v>
      </x:c>
      <x:c r="I24" s="51" t="str">
        <x:v>Threshold excluded by 95% CI</x:v>
      </x:c>
      <x:c r="J24" s="51" t="str">
        <x:v>Threshold originated from shorter follow-up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a7675a1ce0542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3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Biological target-class results</x:v>
      </x:c>
    </x:row>
    <x:row r="2" ht="32" customHeight="1">
      <x:c r="A2" s="7" t="str">
        <x:v>Predominant binding categories; several antibodies engage more than one amyloid species.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Target class</x:v>
      </x:c>
      <x:c r="E4" s="40" t="str">
        <x:v>k</x:v>
      </x:c>
      <x:c r="F4" s="40" t="str">
        <x:v>Estimate</x:v>
      </x:c>
      <x:c r="G4" s="40" t="str">
        <x:v>CI low</x:v>
      </x:c>
      <x:c r="H4" s="40" t="str">
        <x:v>CI high</x:v>
      </x:c>
      <x:c r="I4" s="40" t="str">
        <x:v>P</x:v>
      </x:c>
      <x:c r="J4" s="41" t="str">
        <x:v>I² (%)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49" t="str">
        <x:v>Aggregated/fibrillar Aβ</x:v>
      </x:c>
      <x:c r="E5" s="58" t="n">
        <x:v>8</x:v>
      </x:c>
      <x:c r="F5" s="61" t="n">
        <x:v>-0.06310094812881752</x:v>
      </x:c>
      <x:c r="G5" s="61" t="n">
        <x:v>-0.146375662708113</x:v>
      </x:c>
      <x:c r="H5" s="61" t="n">
        <x:v>0.02017376645047801</x:v>
      </x:c>
      <x:c r="I5" s="64" t="n">
        <x:v>0.1162744550630845</x:v>
      </x:c>
      <x:c r="J5" s="55" t="n">
        <x:v>0.001838725970746706</x:v>
      </x:c>
    </x:row>
    <x:row r="6">
      <x:c r="A6" s="50" t="str">
        <x:v>1.1</x:v>
      </x:c>
      <x:c r="B6" s="50" t="str">
        <x:v>ADAS-Cog scale at 18 months</x:v>
      </x:c>
      <x:c r="C6" s="50" t="str">
        <x:v>SMD</x:v>
      </x:c>
      <x:c r="D6" s="50" t="str">
        <x:v>Pyroglutamate plaque Aβ</x:v>
      </x:c>
      <x:c r="E6" s="59" t="n">
        <x:v>1</x:v>
      </x:c>
      <x:c r="F6" s="62" t="n">
        <x:v>-0.174616059963367</x:v>
      </x:c>
      <x:c r="G6" s="62" t="n">
        <x:v>-0.2843821141874234</x:v>
      </x:c>
      <x:c r="H6" s="62" t="n">
        <x:v>-0.06485000573931066</x:v>
      </x:c>
      <x:c r="I6" s="65" t="n">
        <x:v>0.001821355395700852</x:v>
      </x:c>
      <x:c r="J6" s="56"/>
    </x:row>
    <x:row r="7">
      <x:c r="A7" s="50" t="str">
        <x:v>1.1</x:v>
      </x:c>
      <x:c r="B7" s="50" t="str">
        <x:v>ADAS-Cog scale at 18 months</x:v>
      </x:c>
      <x:c r="C7" s="50" t="str">
        <x:v>SMD</x:v>
      </x:c>
      <x:c r="D7" s="50" t="str">
        <x:v>Soluble aggregate-preferring</x:v>
      </x:c>
      <x:c r="E7" s="59" t="n">
        <x:v>2</x:v>
      </x:c>
      <x:c r="F7" s="62" t="n">
        <x:v>-0.1661816271622981</x:v>
      </x:c>
      <x:c r="G7" s="62" t="n">
        <x:v>-0.2599855358548507</x:v>
      </x:c>
      <x:c r="H7" s="62" t="n">
        <x:v>-0.07237771846974546</x:v>
      </x:c>
      <x:c r="I7" s="65" t="n">
        <x:v>0.0005161281293101139</x:v>
      </x:c>
      <x:c r="J7" s="56" t="n">
        <x:v>0</x:v>
      </x:c>
    </x:row>
    <x:row r="8">
      <x:c r="A8" s="50" t="str">
        <x:v>1.1</x:v>
      </x:c>
      <x:c r="B8" s="50" t="str">
        <x:v>ADAS-Cog scale at 18 months</x:v>
      </x:c>
      <x:c r="C8" s="50" t="str">
        <x:v>SMD</x:v>
      </x:c>
      <x:c r="D8" s="50" t="str">
        <x:v>Soluble monomer Aβ</x:v>
      </x:c>
      <x:c r="E8" s="59" t="n">
        <x:v>2</x:v>
      </x:c>
      <x:c r="F8" s="62" t="n">
        <x:v>-0.1144198139408974</x:v>
      </x:c>
      <x:c r="G8" s="62" t="n">
        <x:v>-0.2050618936149475</x:v>
      </x:c>
      <x:c r="H8" s="62" t="n">
        <x:v>-0.02377773426684723</x:v>
      </x:c>
      <x:c r="I8" s="65" t="n">
        <x:v>0.013356757964666</x:v>
      </x:c>
      <x:c r="J8" s="56" t="n">
        <x:v>43.543421152056055</x:v>
      </x:c>
    </x:row>
    <x:row r="9">
      <x:c r="A9" s="50" t="str">
        <x:v>1.4</x:v>
      </x:c>
      <x:c r="B9" s="50" t="str">
        <x:v>MMSE scale at 18 months</x:v>
      </x:c>
      <x:c r="C9" s="50" t="str">
        <x:v>SMD</x:v>
      </x:c>
      <x:c r="D9" s="50" t="str">
        <x:v>Aggregated/fibrillar Aβ</x:v>
      </x:c>
      <x:c r="E9" s="59" t="n">
        <x:v>4</x:v>
      </x:c>
      <x:c r="F9" s="62" t="n">
        <x:v>0.07393563266050258</x:v>
      </x:c>
      <x:c r="G9" s="62" t="n">
        <x:v>-0.2531990700267909</x:v>
      </x:c>
      <x:c r="H9" s="62" t="n">
        <x:v>0.4010703353477961</x:v>
      </x:c>
      <x:c r="I9" s="65" t="n">
        <x:v>0.5239442666959319</x:v>
      </x:c>
      <x:c r="J9" s="56" t="n">
        <x:v>31.546102923868663</x:v>
      </x:c>
    </x:row>
    <x:row r="10">
      <x:c r="A10" s="50" t="str">
        <x:v>1.4</x:v>
      </x:c>
      <x:c r="B10" s="50" t="str">
        <x:v>MMSE scale at 18 months</x:v>
      </x:c>
      <x:c r="C10" s="50" t="str">
        <x:v>SMD</x:v>
      </x:c>
      <x:c r="D10" s="50" t="str">
        <x:v>Pyroglutamate plaque Aβ</x:v>
      </x:c>
      <x:c r="E10" s="59" t="n">
        <x:v>1</x:v>
      </x:c>
      <x:c r="F10" s="62" t="n">
        <x:v>0.1455607115873234</x:v>
      </x:c>
      <x:c r="G10" s="62" t="n">
        <x:v>0.03559766079525882</x:v>
      </x:c>
      <x:c r="H10" s="62" t="n">
        <x:v>0.255523762379388</x:v>
      </x:c>
      <x:c r="I10" s="65" t="n">
        <x:v>0.009474210427497128</x:v>
      </x:c>
      <x:c r="J10" s="56"/>
    </x:row>
    <x:row r="11">
      <x:c r="A11" s="50" t="str">
        <x:v>1.4</x:v>
      </x:c>
      <x:c r="B11" s="50" t="str">
        <x:v>MMSE scale at 18 months</x:v>
      </x:c>
      <x:c r="C11" s="50" t="str">
        <x:v>SMD</x:v>
      </x:c>
      <x:c r="D11" s="50" t="str">
        <x:v>Soluble aggregate-preferring</x:v>
      </x:c>
      <x:c r="E11" s="59" t="n">
        <x:v>1</x:v>
      </x:c>
      <x:c r="F11" s="62" t="n">
        <x:v>0.1679388492738122</x:v>
      </x:c>
      <x:c r="G11" s="62" t="n">
        <x:v>-0.5926977031526056</x:v>
      </x:c>
      <x:c r="H11" s="62" t="n">
        <x:v>0.92857540170023</x:v>
      </x:c>
      <x:c r="I11" s="65" t="n">
        <x:v>0.6652072637196613</x:v>
      </x:c>
      <x:c r="J11" s="56"/>
    </x:row>
    <x:row r="12">
      <x:c r="A12" s="50" t="str">
        <x:v>1.4</x:v>
      </x:c>
      <x:c r="B12" s="50" t="str">
        <x:v>MMSE scale at 18 months</x:v>
      </x:c>
      <x:c r="C12" s="50" t="str">
        <x:v>SMD</x:v>
      </x:c>
      <x:c r="D12" s="50" t="str">
        <x:v>Soluble monomer Aβ</x:v>
      </x:c>
      <x:c r="E12" s="59" t="n">
        <x:v>2</x:v>
      </x:c>
      <x:c r="F12" s="62" t="n">
        <x:v>0.1230829455677149</x:v>
      </x:c>
      <x:c r="G12" s="62" t="n">
        <x:v>0.0562864755803479</x:v>
      </x:c>
      <x:c r="H12" s="62" t="n">
        <x:v>0.1898794155550819</x:v>
      </x:c>
      <x:c r="I12" s="65" t="n">
        <x:v>0.0003043838213230814</x:v>
      </x:c>
      <x:c r="J12" s="56" t="n">
        <x:v>0</x:v>
      </x:c>
    </x:row>
    <x:row r="13">
      <x:c r="A13" s="50" t="str">
        <x:v>2.1</x:v>
      </x:c>
      <x:c r="B13" s="50" t="str">
        <x:v>CDR-SB scale at 18 months</x:v>
      </x:c>
      <x:c r="C13" s="50" t="str">
        <x:v>SMD</x:v>
      </x:c>
      <x:c r="D13" s="50" t="str">
        <x:v>Aggregated/fibrillar Aβ</x:v>
      </x:c>
      <x:c r="E13" s="59" t="n">
        <x:v>4</x:v>
      </x:c>
      <x:c r="F13" s="62" t="n">
        <x:v>-0.03907097453713373</x:v>
      </x:c>
      <x:c r="G13" s="62" t="n">
        <x:v>-0.3209901929191629</x:v>
      </x:c>
      <x:c r="H13" s="62" t="n">
        <x:v>0.2428482438448954</x:v>
      </x:c>
      <x:c r="I13" s="65" t="n">
        <x:v>0.6890248551842456</x:v>
      </x:c>
      <x:c r="J13" s="56" t="n">
        <x:v>52.886370332796915</x:v>
      </x:c>
    </x:row>
    <x:row r="14">
      <x:c r="A14" s="50" t="str">
        <x:v>2.1</x:v>
      </x:c>
      <x:c r="B14" s="50" t="str">
        <x:v>CDR-SB scale at 18 months</x:v>
      </x:c>
      <x:c r="C14" s="50" t="str">
        <x:v>SMD</x:v>
      </x:c>
      <x:c r="D14" s="50" t="str">
        <x:v>Pyroglutamate plaque Aβ</x:v>
      </x:c>
      <x:c r="E14" s="59" t="n">
        <x:v>1</x:v>
      </x:c>
      <x:c r="F14" s="62" t="n">
        <x:v>-0.2931287586575765</x:v>
      </x:c>
      <x:c r="G14" s="62" t="n">
        <x:v>-0.4039017521127294</x:v>
      </x:c>
      <x:c r="H14" s="62" t="n">
        <x:v>-0.1823557652024235</x:v>
      </x:c>
      <x:c r="I14" s="65" t="n">
        <x:v>2.143071199746335e-7</x:v>
      </x:c>
      <x:c r="J14" s="56"/>
    </x:row>
    <x:row r="15">
      <x:c r="A15" s="50" t="str">
        <x:v>2.1</x:v>
      </x:c>
      <x:c r="B15" s="50" t="str">
        <x:v>CDR-SB scale at 18 months</x:v>
      </x:c>
      <x:c r="C15" s="50" t="str">
        <x:v>SMD</x:v>
      </x:c>
      <x:c r="D15" s="50" t="str">
        <x:v>Soluble aggregate-preferring</x:v>
      </x:c>
      <x:c r="E15" s="59" t="n">
        <x:v>2</x:v>
      </x:c>
      <x:c r="F15" s="62" t="n">
        <x:v>-0.3653701114320175</x:v>
      </x:c>
      <x:c r="G15" s="62" t="n">
        <x:v>-0.9049801306763658</x:v>
      </x:c>
      <x:c r="H15" s="62" t="n">
        <x:v>0.1742399078123308</x:v>
      </x:c>
      <x:c r="I15" s="65" t="n">
        <x:v>0.1844781779491204</x:v>
      </x:c>
      <x:c r="J15" s="56" t="n">
        <x:v>55.441447792139314</x:v>
      </x:c>
    </x:row>
    <x:row r="16">
      <x:c r="A16" s="50" t="str">
        <x:v>2.1</x:v>
      </x:c>
      <x:c r="B16" s="50" t="str">
        <x:v>CDR-SB scale at 18 months</x:v>
      </x:c>
      <x:c r="C16" s="50" t="str">
        <x:v>SMD</x:v>
      </x:c>
      <x:c r="D16" s="50" t="str">
        <x:v>Soluble monomer Aβ</x:v>
      </x:c>
      <x:c r="E16" s="59" t="n">
        <x:v>2</x:v>
      </x:c>
      <x:c r="F16" s="62" t="n">
        <x:v>-0.07468737134774227</x:v>
      </x:c>
      <x:c r="G16" s="62" t="n">
        <x:v>-0.1414413024305402</x:v>
      </x:c>
      <x:c r="H16" s="62" t="n">
        <x:v>-0.007933440264944372</x:v>
      </x:c>
      <x:c r="I16" s="65" t="n">
        <x:v>0.02831473320187678</x:v>
      </x:c>
      <x:c r="J16" s="56" t="n">
        <x:v>0</x:v>
      </x:c>
    </x:row>
    <x:row r="17">
      <x:c r="A17" s="50" t="str">
        <x:v>3.2</x:v>
      </x:c>
      <x:c r="B17" s="50" t="str">
        <x:v>ADCS-ADL score at 18 months</x:v>
      </x:c>
      <x:c r="C17" s="50" t="str">
        <x:v>SMD</x:v>
      </x:c>
      <x:c r="D17" s="50" t="str">
        <x:v>Soluble aggregate-preferring</x:v>
      </x:c>
      <x:c r="E17" s="59" t="n">
        <x:v>1</x:v>
      </x:c>
      <x:c r="F17" s="62" t="n">
        <x:v>0.3280886894908053</x:v>
      </x:c>
      <x:c r="G17" s="62" t="n">
        <x:v>-0.4368849247052404</x:v>
      </x:c>
      <x:c r="H17" s="62" t="n">
        <x:v>1.093062303686851</x:v>
      </x:c>
      <x:c r="I17" s="65" t="n">
        <x:v>0.4005682529512126</x:v>
      </x:c>
      <x:c r="J17" s="56"/>
    </x:row>
    <x:row r="18">
      <x:c r="A18" s="50" t="str">
        <x:v>3.2</x:v>
      </x:c>
      <x:c r="B18" s="50" t="str">
        <x:v>ADCS-ADL score at 18 months</x:v>
      </x:c>
      <x:c r="C18" s="50" t="str">
        <x:v>SMD</x:v>
      </x:c>
      <x:c r="D18" s="50" t="str">
        <x:v>Soluble monomer Aβ</x:v>
      </x:c>
      <x:c r="E18" s="59" t="n">
        <x:v>2</x:v>
      </x:c>
      <x:c r="F18" s="62" t="n">
        <x:v>0.08998845305109139</x:v>
      </x:c>
      <x:c r="G18" s="62" t="n">
        <x:v>0.02322570134223649</x:v>
      </x:c>
      <x:c r="H18" s="62" t="n">
        <x:v>0.1567512047599463</x:v>
      </x:c>
      <x:c r="I18" s="65" t="n">
        <x:v>0.008246568120055775</x:v>
      </x:c>
      <x:c r="J18" s="56" t="n">
        <x:v>0</x:v>
      </x:c>
    </x:row>
    <x:row r="19">
      <x:c r="A19" s="50" t="str">
        <x:v>3.5</x:v>
      </x:c>
      <x:c r="B19" s="50" t="str">
        <x:v>ADCS-ADL-MCI score at 18 months</x:v>
      </x:c>
      <x:c r="C19" s="50" t="str">
        <x:v>SMD</x:v>
      </x:c>
      <x:c r="D19" s="50" t="str">
        <x:v>Aggregated/fibrillar Aβ</x:v>
      </x:c>
      <x:c r="E19" s="59" t="n">
        <x:v>3</x:v>
      </x:c>
      <x:c r="F19" s="62" t="n">
        <x:v>0.200659587914509</x:v>
      </x:c>
      <x:c r="G19" s="62" t="n">
        <x:v>-0.06248444140829526</x:v>
      </x:c>
      <x:c r="H19" s="62" t="n">
        <x:v>0.4638036172373133</x:v>
      </x:c>
      <x:c r="I19" s="65" t="n">
        <x:v>0.08167601032633637</x:v>
      </x:c>
      <x:c r="J19" s="56" t="n">
        <x:v>27.271818113711575</x:v>
      </x:c>
    </x:row>
    <x:row r="20">
      <x:c r="A20" s="50" t="str">
        <x:v>3.5</x:v>
      </x:c>
      <x:c r="B20" s="50" t="str">
        <x:v>ADCS-ADL-MCI score at 18 months</x:v>
      </x:c>
      <x:c r="C20" s="50" t="str">
        <x:v>SMD</x:v>
      </x:c>
      <x:c r="D20" s="50" t="str">
        <x:v>Soluble aggregate-preferring</x:v>
      </x:c>
      <x:c r="E20" s="59" t="n">
        <x:v>1</x:v>
      </x:c>
      <x:c r="F20" s="62" t="n">
        <x:v>0.246614</x:v>
      </x:c>
      <x:c r="G20" s="62" t="n">
        <x:v>0.1475868196811138</x:v>
      </x:c>
      <x:c r="H20" s="62" t="n">
        <x:v>0.3456411803188862</x:v>
      </x:c>
      <x:c r="I20" s="65" t="n">
        <x:v>0.000001055336161928892</x:v>
      </x:c>
      <x:c r="J20" s="56"/>
    </x:row>
    <x:row r="21">
      <x:c r="A21" s="50" t="str">
        <x:v>3.6</x:v>
      </x:c>
      <x:c r="B21" s="50" t="str">
        <x:v>ADCS-iADL score at 18 months</x:v>
      </x:c>
      <x:c r="C21" s="50" t="str">
        <x:v>SMD</x:v>
      </x:c>
      <x:c r="D21" s="50" t="str">
        <x:v>Pyroglutamate plaque Aβ</x:v>
      </x:c>
      <x:c r="E21" s="59" t="n">
        <x:v>1</x:v>
      </x:c>
      <x:c r="F21" s="62" t="n">
        <x:v>0.2086615152924401</x:v>
      </x:c>
      <x:c r="G21" s="62" t="n">
        <x:v>0.09740270301361327</x:v>
      </x:c>
      <x:c r="H21" s="62" t="n">
        <x:v>0.3199203275712669</x:v>
      </x:c>
      <x:c r="I21" s="65" t="n">
        <x:v>0.0002370725624849359</x:v>
      </x:c>
      <x:c r="J21" s="56"/>
    </x:row>
    <x:row r="22">
      <x:c r="A22" s="50" t="str">
        <x:v>4.2</x:v>
      </x:c>
      <x:c r="B22" s="50" t="str">
        <x:v>Any ARIA E at 18 months</x:v>
      </x:c>
      <x:c r="C22" s="50" t="str">
        <x:v>RR</x:v>
      </x:c>
      <x:c r="D22" s="50" t="str">
        <x:v>Aggregated/fibrillar Aβ</x:v>
      </x:c>
      <x:c r="E22" s="59" t="n">
        <x:v>6</x:v>
      </x:c>
      <x:c r="F22" s="62" t="n">
        <x:v>12.452787108387678</x:v>
      </x:c>
      <x:c r="G22" s="62" t="n">
        <x:v>7.754315245374046</x:v>
      </x:c>
      <x:c r="H22" s="62" t="n">
        <x:v>19.99814320927136</x:v>
      </x:c>
      <x:c r="I22" s="65" t="n">
        <x:v>0.00003736242787426266</x:v>
      </x:c>
      <x:c r="J22" s="56" t="n">
        <x:v>0.001916292232460488</x:v>
      </x:c>
    </x:row>
    <x:row r="23">
      <x:c r="A23" s="50" t="str">
        <x:v>4.2</x:v>
      </x:c>
      <x:c r="B23" s="50" t="str">
        <x:v>Any ARIA E at 18 months</x:v>
      </x:c>
      <x:c r="C23" s="50" t="str">
        <x:v>RR</x:v>
      </x:c>
      <x:c r="D23" s="50" t="str">
        <x:v>Pyroglutamate plaque Aβ</x:v>
      </x:c>
      <x:c r="E23" s="59" t="n">
        <x:v>1</x:v>
      </x:c>
      <x:c r="F23" s="62" t="n">
        <x:v>11.66927185098346</x:v>
      </x:c>
      <x:c r="G23" s="62" t="n">
        <x:v>7.275124533987975</x:v>
      </x:c>
      <x:c r="H23" s="62" t="n">
        <x:v>18.717467295025138</x:v>
      </x:c>
      <x:c r="I23" s="65" t="n">
        <x:v>2.159911417714899e-24</x:v>
      </x:c>
      <x:c r="J23" s="56"/>
    </x:row>
    <x:row r="24">
      <x:c r="A24" s="50" t="str">
        <x:v>4.2</x:v>
      </x:c>
      <x:c r="B24" s="50" t="str">
        <x:v>Any ARIA E at 18 months</x:v>
      </x:c>
      <x:c r="C24" s="50" t="str">
        <x:v>RR</x:v>
      </x:c>
      <x:c r="D24" s="50" t="str">
        <x:v>Soluble aggregate-preferring</x:v>
      </x:c>
      <x:c r="E24" s="59" t="n">
        <x:v>2</x:v>
      </x:c>
      <x:c r="F24" s="62" t="n">
        <x:v>7.33677945548397</x:v>
      </x:c>
      <x:c r="G24" s="62" t="n">
        <x:v>4.346894053250995</x:v>
      </x:c>
      <x:c r="H24" s="62" t="n">
        <x:v>12.383171091587572</x:v>
      </x:c>
      <x:c r="I24" s="65" t="n">
        <x:v>8.50770652418146e-14</x:v>
      </x:c>
      <x:c r="J24" s="56" t="n">
        <x:v>0</x:v>
      </x:c>
    </x:row>
    <x:row r="25">
      <x:c r="A25" s="50" t="str">
        <x:v>4.2</x:v>
      </x:c>
      <x:c r="B25" s="50" t="str">
        <x:v>Any ARIA E at 18 months</x:v>
      </x:c>
      <x:c r="C25" s="50" t="str">
        <x:v>RR</x:v>
      </x:c>
      <x:c r="D25" s="50" t="str">
        <x:v>Soluble monomer Aβ</x:v>
      </x:c>
      <x:c r="E25" s="59" t="n">
        <x:v>2</x:v>
      </x:c>
      <x:c r="F25" s="62" t="n">
        <x:v>2.007458629606298</x:v>
      </x:c>
      <x:c r="G25" s="62" t="n">
        <x:v>0.6817031360884913</x:v>
      </x:c>
      <x:c r="H25" s="62" t="n">
        <x:v>5.911503022714099</x:v>
      </x:c>
      <x:c r="I25" s="65" t="n">
        <x:v>0.2060039301622172</x:v>
      </x:c>
      <x:c r="J25" s="56" t="n">
        <x:v>0</x:v>
      </x:c>
    </x:row>
    <x:row r="26">
      <x:c r="A26" s="50" t="str">
        <x:v>4.7</x:v>
      </x:c>
      <x:c r="B26" s="50" t="str">
        <x:v>Any ARIA H at 18 months</x:v>
      </x:c>
      <x:c r="C26" s="50" t="str">
        <x:v>RR</x:v>
      </x:c>
      <x:c r="D26" s="50" t="str">
        <x:v>Pyroglutamate plaque Aβ</x:v>
      </x:c>
      <x:c r="E26" s="59" t="n">
        <x:v>1</x:v>
      </x:c>
      <x:c r="F26" s="62" t="n">
        <x:v>2.307545292442886</x:v>
      </x:c>
      <x:c r="G26" s="62" t="n">
        <x:v>1.900235123508733</x:v>
      </x:c>
      <x:c r="H26" s="62" t="n">
        <x:v>2.802161275096993</x:v>
      </x:c>
      <x:c r="I26" s="65" t="n">
        <x:v>3.203334186864086e-17</x:v>
      </x:c>
      <x:c r="J26" s="56"/>
    </x:row>
    <x:row r="27">
      <x:c r="A27" s="50" t="str">
        <x:v>4.7</x:v>
      </x:c>
      <x:c r="B27" s="50" t="str">
        <x:v>Any ARIA H at 18 months</x:v>
      </x:c>
      <x:c r="C27" s="50" t="str">
        <x:v>RR</x:v>
      </x:c>
      <x:c r="D27" s="50" t="str">
        <x:v>Soluble aggregate-preferring</x:v>
      </x:c>
      <x:c r="E27" s="59" t="n">
        <x:v>2</x:v>
      </x:c>
      <x:c r="F27" s="62" t="n">
        <x:v>1.330416678664887</x:v>
      </x:c>
      <x:c r="G27" s="62" t="n">
        <x:v>0.6025491077781254</x:v>
      </x:c>
      <x:c r="H27" s="62" t="n">
        <x:v>2.937534079830506</x:v>
      </x:c>
      <x:c r="I27" s="65" t="n">
        <x:v>0.4799156440207577</x:v>
      </x:c>
      <x:c r="J27" s="56" t="n">
        <x:v>84.12344724498638</x:v>
      </x:c>
    </x:row>
    <x:row r="28">
      <x:c r="A28" s="50" t="str">
        <x:v>5.1</x:v>
      </x:c>
      <x:c r="B28" s="50" t="str">
        <x:v>SAE at 18 months</x:v>
      </x:c>
      <x:c r="C28" s="50" t="str">
        <x:v>RR</x:v>
      </x:c>
      <x:c r="D28" s="50" t="str">
        <x:v>Aggregated/fibrillar Aβ</x:v>
      </x:c>
      <x:c r="E28" s="59" t="n">
        <x:v>4</x:v>
      </x:c>
      <x:c r="F28" s="62" t="n">
        <x:v>1.101101113366262</x:v>
      </x:c>
      <x:c r="G28" s="62" t="n">
        <x:v>0.8507479075241734</x:v>
      </x:c>
      <x:c r="H28" s="62" t="n">
        <x:v>1.425126822097967</x:v>
      </x:c>
      <x:c r="I28" s="65" t="n">
        <x:v>0.3202379828942724</x:v>
      </x:c>
      <x:c r="J28" s="56" t="n">
        <x:v>33.6328034990973</x:v>
      </x:c>
    </x:row>
    <x:row r="29">
      <x:c r="A29" s="50" t="str">
        <x:v>5.1</x:v>
      </x:c>
      <x:c r="B29" s="50" t="str">
        <x:v>SAE at 18 months</x:v>
      </x:c>
      <x:c r="C29" s="50" t="str">
        <x:v>RR</x:v>
      </x:c>
      <x:c r="D29" s="50" t="str">
        <x:v>Pyroglutamate plaque Aβ</x:v>
      </x:c>
      <x:c r="E29" s="59" t="n">
        <x:v>1</x:v>
      </x:c>
      <x:c r="F29" s="62" t="n">
        <x:v>1.098866744822196</x:v>
      </x:c>
      <x:c r="G29" s="62" t="n">
        <x:v>0.8890498331464224</x:v>
      </x:c>
      <x:c r="H29" s="62" t="n">
        <x:v>1.358200719303503</x:v>
      </x:c>
      <x:c r="I29" s="65" t="n">
        <x:v>0.3831474241093716</x:v>
      </x:c>
      <x:c r="J29" s="56"/>
    </x:row>
    <x:row r="30">
      <x:c r="A30" s="50" t="str">
        <x:v>5.1</x:v>
      </x:c>
      <x:c r="B30" s="50" t="str">
        <x:v>SAE at 18 months</x:v>
      </x:c>
      <x:c r="C30" s="50" t="str">
        <x:v>RR</x:v>
      </x:c>
      <x:c r="D30" s="50" t="str">
        <x:v>Soluble aggregate-preferring</x:v>
      </x:c>
      <x:c r="E30" s="59" t="n">
        <x:v>2</x:v>
      </x:c>
      <x:c r="F30" s="62" t="n">
        <x:v>1.017301899394617</x:v>
      </x:c>
      <x:c r="G30" s="62" t="n">
        <x:v>0.6412344640837401</x:v>
      </x:c>
      <x:c r="H30" s="62" t="n">
        <x:v>1.613923163020671</x:v>
      </x:c>
      <x:c r="I30" s="65" t="n">
        <x:v>0.9419258626895272</x:v>
      </x:c>
      <x:c r="J30" s="56" t="n">
        <x:v>71.45017964149524</x:v>
      </x:c>
    </x:row>
    <x:row r="31">
      <x:c r="A31" s="50" t="str">
        <x:v>5.1</x:v>
      </x:c>
      <x:c r="B31" s="50" t="str">
        <x:v>SAE at 18 months</x:v>
      </x:c>
      <x:c r="C31" s="50" t="str">
        <x:v>RR</x:v>
      </x:c>
      <x:c r="D31" s="50" t="str">
        <x:v>Soluble monomer Aβ</x:v>
      </x:c>
      <x:c r="E31" s="59" t="n">
        <x:v>2</x:v>
      </x:c>
      <x:c r="F31" s="62" t="n">
        <x:v>0.9147890493148582</x:v>
      </x:c>
      <x:c r="G31" s="62" t="n">
        <x:v>0.7948586996168268</x:v>
      </x:c>
      <x:c r="H31" s="62" t="n">
        <x:v>1.052814802366499</x:v>
      </x:c>
      <x:c r="I31" s="65" t="n">
        <x:v>0.2141821729809938</x:v>
      </x:c>
      <x:c r="J31" s="56" t="n">
        <x:v>0</x:v>
      </x:c>
    </x:row>
    <x:row r="32">
      <x:c r="A32" s="50" t="str">
        <x:v>6.1</x:v>
      </x:c>
      <x:c r="B32" s="50" t="str">
        <x:v>Mortality at 18 months</x:v>
      </x:c>
      <x:c r="C32" s="50" t="str">
        <x:v>RR</x:v>
      </x:c>
      <x:c r="D32" s="50" t="str">
        <x:v>Aggregated/fibrillar Aβ</x:v>
      </x:c>
      <x:c r="E32" s="59" t="n">
        <x:v>2</x:v>
      </x:c>
      <x:c r="F32" s="62" t="n">
        <x:v>1.790068379862972</x:v>
      </x:c>
      <x:c r="G32" s="62" t="n">
        <x:v>0.8693862950973424</x:v>
      </x:c>
      <x:c r="H32" s="62" t="n">
        <x:v>3.685754908554736</x:v>
      </x:c>
      <x:c r="I32" s="65" t="n">
        <x:v>0.1140794479342689</x:v>
      </x:c>
      <x:c r="J32" s="56" t="n">
        <x:v>0</x:v>
      </x:c>
    </x:row>
    <x:row r="33">
      <x:c r="A33" s="50" t="str">
        <x:v>6.1</x:v>
      </x:c>
      <x:c r="B33" s="50" t="str">
        <x:v>Mortality at 18 months</x:v>
      </x:c>
      <x:c r="C33" s="50" t="str">
        <x:v>RR</x:v>
      </x:c>
      <x:c r="D33" s="50" t="str">
        <x:v>Pyroglutamate plaque Aβ</x:v>
      </x:c>
      <x:c r="E33" s="59" t="n">
        <x:v>1</x:v>
      </x:c>
      <x:c r="F33" s="62" t="n">
        <x:v>1.639390386869871</x:v>
      </x:c>
      <x:c r="G33" s="62" t="n">
        <x:v>0.7481808292082689</x:v>
      </x:c>
      <x:c r="H33" s="62" t="n">
        <x:v>3.592180841368774</x:v>
      </x:c>
      <x:c r="I33" s="65" t="n">
        <x:v>0.216792142084526</x:v>
      </x:c>
      <x:c r="J33" s="56"/>
    </x:row>
    <x:row r="34">
      <x:c r="A34" s="50" t="str">
        <x:v>6.1</x:v>
      </x:c>
      <x:c r="B34" s="50" t="str">
        <x:v>Mortality at 18 months</x:v>
      </x:c>
      <x:c r="C34" s="50" t="str">
        <x:v>RR</x:v>
      </x:c>
      <x:c r="D34" s="50" t="str">
        <x:v>Soluble aggregate-preferring</x:v>
      </x:c>
      <x:c r="E34" s="59" t="n">
        <x:v>2</x:v>
      </x:c>
      <x:c r="F34" s="62" t="n">
        <x:v>0.3723940798440147</x:v>
      </x:c>
      <x:c r="G34" s="62" t="n">
        <x:v>0.03899653485864722</x:v>
      </x:c>
      <x:c r="H34" s="62" t="n">
        <x:v>3.556145467938148</x:v>
      </x:c>
      <x:c r="I34" s="65" t="n">
        <x:v>0.3908929859979084</x:v>
      </x:c>
      <x:c r="J34" s="56" t="n">
        <x:v>58.21947296936054</x:v>
      </x:c>
    </x:row>
    <x:row r="35">
      <x:c r="A35" s="50" t="str">
        <x:v>6.1</x:v>
      </x:c>
      <x:c r="B35" s="50" t="str">
        <x:v>Mortality at 18 months</x:v>
      </x:c>
      <x:c r="C35" s="50" t="str">
        <x:v>RR</x:v>
      </x:c>
      <x:c r="D35" s="50" t="str">
        <x:v>Soluble monomer Aβ</x:v>
      </x:c>
      <x:c r="E35" s="59" t="n">
        <x:v>2</x:v>
      </x:c>
      <x:c r="F35" s="62" t="n">
        <x:v>0.9626030887318018</x:v>
      </x:c>
      <x:c r="G35" s="62" t="n">
        <x:v>0.2992319995259743</x:v>
      </x:c>
      <x:c r="H35" s="62" t="n">
        <x:v>3.096609680461573</x:v>
      </x:c>
      <x:c r="I35" s="65" t="n">
        <x:v>0.9490225076656585</x:v>
      </x:c>
      <x:c r="J35" s="56" t="n">
        <x:v>74.58285787430462</x:v>
      </x:c>
    </x:row>
    <x:row r="36">
      <x:c r="A36" s="50" t="str">
        <x:v>9.1</x:v>
      </x:c>
      <x:c r="B36" s="50" t="str">
        <x:v>Study discontinuation at 18 months</x:v>
      </x:c>
      <x:c r="C36" s="50" t="str">
        <x:v>RR</x:v>
      </x:c>
      <x:c r="D36" s="50" t="str">
        <x:v>Aggregated/fibrillar Aβ</x:v>
      </x:c>
      <x:c r="E36" s="59" t="n">
        <x:v>6</x:v>
      </x:c>
      <x:c r="F36" s="62" t="n">
        <x:v>1.104217702752735</x:v>
      </x:c>
      <x:c r="G36" s="62" t="n">
        <x:v>0.9771954436591765</x:v>
      </x:c>
      <x:c r="H36" s="62" t="n">
        <x:v>1.247751146389698</x:v>
      </x:c>
      <x:c r="I36" s="65" t="n">
        <x:v>0.09143982479267557</x:v>
      </x:c>
      <x:c r="J36" s="56" t="n">
        <x:v>37.85973967030621</x:v>
      </x:c>
    </x:row>
    <x:row r="37">
      <x:c r="A37" s="50" t="str">
        <x:v>9.1</x:v>
      </x:c>
      <x:c r="B37" s="50" t="str">
        <x:v>Study discontinuation at 18 months</x:v>
      </x:c>
      <x:c r="C37" s="50" t="str">
        <x:v>RR</x:v>
      </x:c>
      <x:c r="D37" s="50" t="str">
        <x:v>Pyroglutamate plaque Aβ</x:v>
      </x:c>
      <x:c r="E37" s="59" t="n">
        <x:v>1</x:v>
      </x:c>
      <x:c r="F37" s="62" t="n">
        <x:v>1.360102164269391</x:v>
      </x:c>
      <x:c r="G37" s="62" t="n">
        <x:v>1.143855902627413</x:v>
      </x:c>
      <x:c r="H37" s="62" t="n">
        <x:v>1.617229839004329</x:v>
      </x:c>
      <x:c r="I37" s="65" t="n">
        <x:v>0.0004989643157539928</x:v>
      </x:c>
      <x:c r="J37" s="56"/>
    </x:row>
    <x:row r="38">
      <x:c r="A38" s="50" t="str">
        <x:v>9.1</x:v>
      </x:c>
      <x:c r="B38" s="50" t="str">
        <x:v>Study discontinuation at 18 months</x:v>
      </x:c>
      <x:c r="C38" s="50" t="str">
        <x:v>RR</x:v>
      </x:c>
      <x:c r="D38" s="50" t="str">
        <x:v>Soluble aggregate-preferring</x:v>
      </x:c>
      <x:c r="E38" s="59" t="n">
        <x:v>2</x:v>
      </x:c>
      <x:c r="F38" s="62" t="n">
        <x:v>1.223824567941387</x:v>
      </x:c>
      <x:c r="G38" s="62" t="n">
        <x:v>1.017863915801324</x:v>
      </x:c>
      <x:c r="H38" s="62" t="n">
        <x:v>1.471460526152758</x:v>
      </x:c>
      <x:c r="I38" s="65" t="n">
        <x:v>0.03169078025064656</x:v>
      </x:c>
      <x:c r="J38" s="56" t="n">
        <x:v>0</x:v>
      </x:c>
    </x:row>
    <x:row r="39">
      <x:c r="A39" s="51" t="str">
        <x:v>9.1</x:v>
      </x:c>
      <x:c r="B39" s="51" t="str">
        <x:v>Study discontinuation at 18 months</x:v>
      </x:c>
      <x:c r="C39" s="51" t="str">
        <x:v>RR</x:v>
      </x:c>
      <x:c r="D39" s="51" t="str">
        <x:v>Soluble monomer Aβ</x:v>
      </x:c>
      <x:c r="E39" s="60" t="n">
        <x:v>2</x:v>
      </x:c>
      <x:c r="F39" s="63" t="n">
        <x:v>0.9588564559191746</x:v>
      </x:c>
      <x:c r="G39" s="63" t="n">
        <x:v>0.8246170992596529</x:v>
      </x:c>
      <x:c r="H39" s="63" t="n">
        <x:v>1.114948627530679</x:v>
      </x:c>
      <x:c r="I39" s="66" t="n">
        <x:v>0.5850805759400592</x:v>
      </x:c>
      <x:c r="J39" s="57" t="n">
        <x:v>6.822529617841252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7470e1c399048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Between-antibody interaction tests</x:v>
      </x:c>
    </x:row>
    <x:row r="2" ht="32" customHeight="1">
      <x:c r="A2" s="7" t="str">
        <x:v>Omnibus random-effects moderator tests when residual degrees of freedom were available.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k</x:v>
      </x:c>
      <x:c r="E4" s="40" t="str">
        <x:v>Agents</x:v>
      </x:c>
      <x:c r="F4" s="40" t="str">
        <x:v>QM</x:v>
      </x:c>
      <x:c r="G4" s="40" t="str">
        <x:v>df</x:v>
      </x:c>
      <x:c r="H4" s="40" t="str">
        <x:v>Interaction P</x:v>
      </x:c>
      <x:c r="I4" s="40" t="str">
        <x:v>Residual I²</x:v>
      </x:c>
      <x:c r="J4" s="41" t="str">
        <x:v>Residual tau²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58" t="n">
        <x:v>13</x:v>
      </x:c>
      <x:c r="E5" s="58" t="n">
        <x:v>7</x:v>
      </x:c>
      <x:c r="F5" s="61" t="n">
        <x:v>1.155049481424445</x:v>
      </x:c>
      <x:c r="G5" s="58" t="n">
        <x:v>6</x:v>
      </x:c>
      <x:c r="H5" s="64" t="n">
        <x:v>0.432782032537443</x:v>
      </x:c>
      <x:c r="I5" s="55" t="n">
        <x:v>10.982841870999998</x:v>
      </x:c>
      <x:c r="J5" s="61" t="n">
        <x:v>0.0008340636242573801</x:v>
      </x:c>
    </x:row>
    <x:row r="6">
      <x:c r="A6" s="50" t="str">
        <x:v>1.4</x:v>
      </x:c>
      <x:c r="B6" s="50" t="str">
        <x:v>MMSE scale at 18 months</x:v>
      </x:c>
      <x:c r="C6" s="50" t="str">
        <x:v>SMD</x:v>
      </x:c>
      <x:c r="D6" s="59" t="n">
        <x:v>8</x:v>
      </x:c>
      <x:c r="E6" s="59" t="n">
        <x:v>5</x:v>
      </x:c>
      <x:c r="F6" s="62" t="n">
        <x:v>0.06960391731001235</x:v>
      </x:c>
      <x:c r="G6" s="59" t="n">
        <x:v>4</x:v>
      </x:c>
      <x:c r="H6" s="65" t="n">
        <x:v>0.9868664975217456</x:v>
      </x:c>
      <x:c r="I6" s="56" t="n">
        <x:v>40.880596981318604</x:v>
      </x:c>
      <x:c r="J6" s="62" t="n">
        <x:v>0.003713042883753755</x:v>
      </x:c>
    </x:row>
    <x:row r="7">
      <x:c r="A7" s="50" t="str">
        <x:v>2.1</x:v>
      </x:c>
      <x:c r="B7" s="50" t="str">
        <x:v>CDR-SB scale at 18 months</x:v>
      </x:c>
      <x:c r="C7" s="50" t="str">
        <x:v>SMD</x:v>
      </x:c>
      <x:c r="D7" s="59" t="n">
        <x:v>9</x:v>
      </x:c>
      <x:c r="E7" s="59" t="n">
        <x:v>6</x:v>
      </x:c>
      <x:c r="F7" s="62" t="n">
        <x:v>1.488306342729094</x:v>
      </x:c>
      <x:c r="G7" s="59" t="n">
        <x:v>5</x:v>
      </x:c>
      <x:c r="H7" s="65" t="n">
        <x:v>0.3949048846789633</x:v>
      </x:c>
      <x:c r="I7" s="56" t="n">
        <x:v>43.03514098808971</x:v>
      </x:c>
      <x:c r="J7" s="62" t="n">
        <x:v>0.004023728838564711</x:v>
      </x:c>
    </x:row>
    <x:row r="8">
      <x:c r="A8" s="50" t="str">
        <x:v>3.2</x:v>
      </x:c>
      <x:c r="B8" s="50" t="str">
        <x:v>ADCS-ADL score at 18 months</x:v>
      </x:c>
      <x:c r="C8" s="50" t="str">
        <x:v>SMD</x:v>
      </x:c>
      <x:c r="D8" s="59" t="n">
        <x:v>3</x:v>
      </x:c>
      <x:c r="E8" s="59" t="n">
        <x:v>2</x:v>
      </x:c>
      <x:c r="F8" s="62" t="n">
        <x:v>11.606922897014043</x:v>
      </x:c>
      <x:c r="G8" s="59" t="n">
        <x:v>1</x:v>
      </x:c>
      <x:c r="H8" s="65" t="n">
        <x:v>0.1817572517632361</x:v>
      </x:c>
      <x:c r="I8" s="56" t="n">
        <x:v>0</x:v>
      </x:c>
      <x:c r="J8" s="62" t="n">
        <x:v>0</x:v>
      </x:c>
    </x:row>
    <x:row r="9">
      <x:c r="A9" s="50" t="str">
        <x:v>3.5</x:v>
      </x:c>
      <x:c r="B9" s="50" t="str">
        <x:v>ADCS-ADL-MCI score at 18 months</x:v>
      </x:c>
      <x:c r="C9" s="50" t="str">
        <x:v>SMD</x:v>
      </x:c>
      <x:c r="D9" s="59" t="n">
        <x:v>4</x:v>
      </x:c>
      <x:c r="E9" s="59" t="n">
        <x:v>2</x:v>
      </x:c>
      <x:c r="F9" s="62" t="n">
        <x:v>0.2449987985221541</x:v>
      </x:c>
      <x:c r="G9" s="59" t="n">
        <x:v>1</x:v>
      </x:c>
      <x:c r="H9" s="65" t="n">
        <x:v>0.6696502968924796</x:v>
      </x:c>
      <x:c r="I9" s="56" t="n">
        <x:v>27.271818113711575</x:v>
      </x:c>
      <x:c r="J9" s="62" t="n">
        <x:v>0.004898276682386567</x:v>
      </x:c>
    </x:row>
    <x:row r="10">
      <x:c r="A10" s="50" t="str">
        <x:v>3.8</x:v>
      </x:c>
      <x:c r="B10" s="50" t="str">
        <x:v>ADCS-ADL-MCI 18 months mean difference</x:v>
      </x:c>
      <x:c r="C10" s="50" t="str">
        <x:v>MD</x:v>
      </x:c>
      <x:c r="D10" s="59" t="n">
        <x:v>4</x:v>
      </x:c>
      <x:c r="E10" s="59" t="n">
        <x:v>2</x:v>
      </x:c>
      <x:c r="F10" s="62" t="n">
        <x:v>0.5848850369517318</x:v>
      </x:c>
      <x:c r="G10" s="59" t="n">
        <x:v>1</x:v>
      </x:c>
      <x:c r="H10" s="65" t="n">
        <x:v>0.5243202767190651</x:v>
      </x:c>
      <x:c r="I10" s="56" t="n">
        <x:v>0</x:v>
      </x:c>
      <x:c r="J10" s="62" t="n">
        <x:v>0</x:v>
      </x:c>
    </x:row>
    <x:row r="11">
      <x:c r="A11" s="50" t="str">
        <x:v>4.2</x:v>
      </x:c>
      <x:c r="B11" s="50" t="str">
        <x:v>Any ARIA E at 18 months</x:v>
      </x:c>
      <x:c r="C11" s="50" t="str">
        <x:v>RR</x:v>
      </x:c>
      <x:c r="D11" s="59" t="n">
        <x:v>11</x:v>
      </x:c>
      <x:c r="E11" s="59" t="n">
        <x:v>6</x:v>
      </x:c>
      <x:c r="F11" s="62" t="n">
        <x:v>1.815457289143508</x:v>
      </x:c>
      <x:c r="G11" s="59" t="n">
        <x:v>5</x:v>
      </x:c>
      <x:c r="H11" s="65" t="n">
        <x:v>0.2643304549385849</x:v>
      </x:c>
      <x:c r="I11" s="56" t="n">
        <x:v>0.0002808066852416673</x:v>
      </x:c>
      <x:c r="J11" s="62" t="n">
        <x:v>6.74890347531943e-7</x:v>
      </x:c>
    </x:row>
    <x:row r="12">
      <x:c r="A12" s="50" t="str">
        <x:v>4.3</x:v>
      </x:c>
      <x:c r="B12" s="50" t="str">
        <x:v>Any ARIA E at 24 months</x:v>
      </x:c>
      <x:c r="C12" s="50" t="str">
        <x:v>RR</x:v>
      </x:c>
      <x:c r="D12" s="59" t="n">
        <x:v>4</x:v>
      </x:c>
      <x:c r="E12" s="59" t="n">
        <x:v>3</x:v>
      </x:c>
      <x:c r="F12" s="62" t="n">
        <x:v>1.082499310401033</x:v>
      </x:c>
      <x:c r="G12" s="59" t="n">
        <x:v>2</x:v>
      </x:c>
      <x:c r="H12" s="65" t="n">
        <x:v>0.562099549791163</x:v>
      </x:c>
      <x:c r="I12" s="56" t="n">
        <x:v>22.558747031633494</x:v>
      </x:c>
      <x:c r="J12" s="62" t="n">
        <x:v>0.1310154688081684</x:v>
      </x:c>
    </x:row>
    <x:row r="13">
      <x:c r="A13" s="50" t="str">
        <x:v>4.8</x:v>
      </x:c>
      <x:c r="B13" s="50" t="str">
        <x:v>Any ARIA H at 24 months</x:v>
      </x:c>
      <x:c r="C13" s="50" t="str">
        <x:v>RR</x:v>
      </x:c>
      <x:c r="D13" s="59" t="n">
        <x:v>4</x:v>
      </x:c>
      <x:c r="E13" s="59" t="n">
        <x:v>3</x:v>
      </x:c>
      <x:c r="F13" s="62" t="n">
        <x:v>0.5295403039537427</x:v>
      </x:c>
      <x:c r="G13" s="59" t="n">
        <x:v>2</x:v>
      </x:c>
      <x:c r="H13" s="65" t="n">
        <x:v>0.6968885447095952</x:v>
      </x:c>
      <x:c r="I13" s="56" t="n">
        <x:v>0</x:v>
      </x:c>
      <x:c r="J13" s="62" t="n">
        <x:v>0</x:v>
      </x:c>
    </x:row>
    <x:row r="14">
      <x:c r="A14" s="50" t="str">
        <x:v>5.1</x:v>
      </x:c>
      <x:c r="B14" s="50" t="str">
        <x:v>SAE at 18 months</x:v>
      </x:c>
      <x:c r="C14" s="50" t="str">
        <x:v>RR</x:v>
      </x:c>
      <x:c r="D14" s="59" t="n">
        <x:v>9</x:v>
      </x:c>
      <x:c r="E14" s="59" t="n">
        <x:v>6</x:v>
      </x:c>
      <x:c r="F14" s="62" t="n">
        <x:v>4.327910196032906</x:v>
      </x:c>
      <x:c r="G14" s="59" t="n">
        <x:v>5</x:v>
      </x:c>
      <x:c r="H14" s="65" t="n">
        <x:v>0.1287911420827099</x:v>
      </x:c>
      <x:c r="I14" s="56" t="n">
        <x:v>0</x:v>
      </x:c>
      <x:c r="J14" s="62" t="n">
        <x:v>0</x:v>
      </x:c>
    </x:row>
    <x:row r="15">
      <x:c r="A15" s="50" t="str">
        <x:v>5.2</x:v>
      </x:c>
      <x:c r="B15" s="50" t="str">
        <x:v>SAE at 24 months</x:v>
      </x:c>
      <x:c r="C15" s="50" t="str">
        <x:v>RR</x:v>
      </x:c>
      <x:c r="D15" s="59" t="n">
        <x:v>4</x:v>
      </x:c>
      <x:c r="E15" s="59" t="n">
        <x:v>3</x:v>
      </x:c>
      <x:c r="F15" s="62" t="n">
        <x:v>1.926008923101805</x:v>
      </x:c>
      <x:c r="G15" s="59" t="n">
        <x:v>2</x:v>
      </x:c>
      <x:c r="H15" s="65" t="n">
        <x:v>0.4539821791912326</x:v>
      </x:c>
      <x:c r="I15" s="56" t="n">
        <x:v>0</x:v>
      </x:c>
      <x:c r="J15" s="62" t="n">
        <x:v>0</x:v>
      </x:c>
    </x:row>
    <x:row r="16">
      <x:c r="A16" s="50" t="str">
        <x:v>6.1</x:v>
      </x:c>
      <x:c r="B16" s="50" t="str">
        <x:v>Mortality at 18 months</x:v>
      </x:c>
      <x:c r="C16" s="50" t="str">
        <x:v>RR</x:v>
      </x:c>
      <x:c r="D16" s="59" t="n">
        <x:v>7</x:v>
      </x:c>
      <x:c r="E16" s="59" t="n">
        <x:v>5</x:v>
      </x:c>
      <x:c r="F16" s="62" t="n">
        <x:v>1.254909564728002</x:v>
      </x:c>
      <x:c r="G16" s="59" t="n">
        <x:v>4</x:v>
      </x:c>
      <x:c r="H16" s="65" t="n">
        <x:v>0.4886533949906147</x:v>
      </x:c>
      <x:c r="I16" s="56" t="n">
        <x:v>50.377597214375506</x:v>
      </x:c>
      <x:c r="J16" s="62" t="n">
        <x:v>0.220414017631349</x:v>
      </x:c>
    </x:row>
    <x:row r="17">
      <x:c r="A17" s="50" t="str">
        <x:v>6.2</x:v>
      </x:c>
      <x:c r="B17" s="50" t="str">
        <x:v>Mortality at 24 months</x:v>
      </x:c>
      <x:c r="C17" s="50" t="str">
        <x:v>RR</x:v>
      </x:c>
      <x:c r="D17" s="59" t="n">
        <x:v>4</x:v>
      </x:c>
      <x:c r="E17" s="59" t="n">
        <x:v>3</x:v>
      </x:c>
      <x:c r="F17" s="62" t="n">
        <x:v>1.228154369565348</x:v>
      </x:c>
      <x:c r="G17" s="59" t="n">
        <x:v>2</x:v>
      </x:c>
      <x:c r="H17" s="65" t="n">
        <x:v>0.5378903281648599</x:v>
      </x:c>
      <x:c r="I17" s="56" t="n">
        <x:v>0</x:v>
      </x:c>
      <x:c r="J17" s="62" t="n">
        <x:v>0</x:v>
      </x:c>
    </x:row>
    <x:row r="18">
      <x:c r="A18" s="51" t="str">
        <x:v>9.1</x:v>
      </x:c>
      <x:c r="B18" s="51" t="str">
        <x:v>Study discontinuation at 18 months</x:v>
      </x:c>
      <x:c r="C18" s="51" t="str">
        <x:v>RR</x:v>
      </x:c>
      <x:c r="D18" s="60" t="n">
        <x:v>11</x:v>
      </x:c>
      <x:c r="E18" s="60" t="n">
        <x:v>6</x:v>
      </x:c>
      <x:c r="F18" s="63" t="n">
        <x:v>2.249143093907636</x:v>
      </x:c>
      <x:c r="G18" s="60" t="n">
        <x:v>5</x:v>
      </x:c>
      <x:c r="H18" s="66" t="n">
        <x:v>0.1972383180138373</x:v>
      </x:c>
      <x:c r="I18" s="57" t="n">
        <x:v>26.39127888994329</x:v>
      </x:c>
      <x:c r="J18" s="63" t="n">
        <x:v>0.003060335373970467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8213bf86205479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13" hidden="0" customWidth="1"/>
    <x:col min="5" max="5" width="5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Sparse exploratory moderator models</x:v>
      </x:c>
    </x:row>
    <x:row r="2" ht="32" customHeight="1">
      <x:c r="A2" s="7" t="str">
        <x:v>One moderator at a time; aggregate-data and unadjusted for multiplicity.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k</x:v>
      </x:c>
      <x:c r="E4" s="40" t="str">
        <x:v>Moderator</x:v>
      </x:c>
      <x:c r="F4" s="40" t="str">
        <x:v>Slope</x:v>
      </x:c>
      <x:c r="G4" s="40" t="str">
        <x:v>CI low</x:v>
      </x:c>
      <x:c r="H4" s="40" t="str">
        <x:v>CI high</x:v>
      </x:c>
      <x:c r="I4" s="40" t="str">
        <x:v>P</x:v>
      </x:c>
      <x:c r="J4" s="41" t="str">
        <x:v>I² (%)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58" t="n">
        <x:v>13</x:v>
      </x:c>
      <x:c r="E5" s="49" t="str">
        <x:v>Biomarker-confirmed enrollment (binary)</x:v>
      </x:c>
      <x:c r="F5" s="64" t="n">
        <x:v>-0.0538383657741706</x:v>
      </x:c>
      <x:c r="G5" s="64" t="n">
        <x:v>-0.1597516470624168</x:v>
      </x:c>
      <x:c r="H5" s="64" t="n">
        <x:v>0.0520749155140756</x:v>
      </x:c>
      <x:c r="I5" s="64" t="n">
        <x:v>0.2870557322558956</x:v>
      </x:c>
      <x:c r="J5" s="55" t="n">
        <x:v>19.170343760065197</x:v>
      </x:c>
    </x:row>
    <x:row r="6">
      <x:c r="A6" s="50" t="str">
        <x:v>1.1</x:v>
      </x:c>
      <x:c r="B6" s="50" t="str">
        <x:v>ADAS-Cog scale at 18 months</x:v>
      </x:c>
      <x:c r="C6" s="50" t="str">
        <x:v>SMD</x:v>
      </x:c>
      <x:c r="D6" s="59" t="n">
        <x:v>13</x:v>
      </x:c>
      <x:c r="E6" s="50" t="str">
        <x:v>Futility termination (binary)</x:v>
      </x:c>
      <x:c r="F6" s="65" t="n">
        <x:v>-0.00411423136710573</x:v>
      </x:c>
      <x:c r="G6" s="65" t="n">
        <x:v>-0.1394222773406665</x:v>
      </x:c>
      <x:c r="H6" s="65" t="n">
        <x:v>0.1311938146064551</x:v>
      </x:c>
      <x:c r="I6" s="65" t="n">
        <x:v>0.9478430847733306</x:v>
      </x:c>
      <x:c r="J6" s="56" t="n">
        <x:v>16.58537997741088</x:v>
      </x:c>
    </x:row>
    <x:row r="7">
      <x:c r="A7" s="50" t="str">
        <x:v>1.1</x:v>
      </x:c>
      <x:c r="B7" s="50" t="str">
        <x:v>ADAS-Cog scale at 18 months</x:v>
      </x:c>
      <x:c r="C7" s="50" t="str">
        <x:v>SMD</x:v>
      </x:c>
      <x:c r="D7" s="59" t="n">
        <x:v>13</x:v>
      </x:c>
      <x:c r="E7" s="50" t="str">
        <x:v>Trial publication year per 5 years</x:v>
      </x:c>
      <x:c r="F7" s="65" t="n">
        <x:v>-0.06278250548508368</x:v>
      </x:c>
      <x:c r="G7" s="65" t="n">
        <x:v>-0.1251327733532914</x:v>
      </x:c>
      <x:c r="H7" s="65" t="n">
        <x:v>-0.0004322376168759273</x:v>
      </x:c>
      <x:c r="I7" s="65" t="n">
        <x:v>0.04868422936373294</x:v>
      </x:c>
      <x:c r="J7" s="56" t="n">
        <x:v>0</x:v>
      </x:c>
    </x:row>
    <x:row r="8">
      <x:c r="A8" s="50" t="str">
        <x:v>1.1</x:v>
      </x:c>
      <x:c r="B8" s="50" t="str">
        <x:v>ADAS-Cog scale at 18 months</x:v>
      </x:c>
      <x:c r="C8" s="50" t="str">
        <x:v>SMD</x:v>
      </x:c>
      <x:c r="D8" s="59" t="n">
        <x:v>11</x:v>
      </x:c>
      <x:c r="E8" s="50" t="str">
        <x:v>ARIA-E risk difference per 10 percentage points</x:v>
      </x:c>
      <x:c r="F8" s="65" t="n">
        <x:v>-0.008832755734601593</x:v>
      </x:c>
      <x:c r="G8" s="65" t="n">
        <x:v>-0.05875777518911793</x:v>
      </x:c>
      <x:c r="H8" s="65" t="n">
        <x:v>0.04109226371991474</x:v>
      </x:c>
      <x:c r="I8" s="65" t="n">
        <x:v>0.6983264771845131</x:v>
      </x:c>
      <x:c r="J8" s="56" t="n">
        <x:v>18.419512919620917</x:v>
      </x:c>
    </x:row>
    <x:row r="9">
      <x:c r="A9" s="50" t="str">
        <x:v>1.4</x:v>
      </x:c>
      <x:c r="B9" s="50" t="str">
        <x:v>MMSE scale at 18 months</x:v>
      </x:c>
      <x:c r="C9" s="50" t="str">
        <x:v>SMD</x:v>
      </x:c>
      <x:c r="D9" s="59" t="n">
        <x:v>8</x:v>
      </x:c>
      <x:c r="E9" s="50" t="str">
        <x:v>Biomarker-confirmed enrollment (binary)</x:v>
      </x:c>
      <x:c r="F9" s="65" t="n">
        <x:v>-0.06264425380881297</x:v>
      </x:c>
      <x:c r="G9" s="65" t="n">
        <x:v>-0.2544563613271569</x:v>
      </x:c>
      <x:c r="H9" s="65" t="n">
        <x:v>0.1291678537095309</x:v>
      </x:c>
      <x:c r="I9" s="65" t="n">
        <x:v>0.4546715668682874</x:v>
      </x:c>
      <x:c r="J9" s="56" t="n">
        <x:v>0.05388317723728452</x:v>
      </x:c>
    </x:row>
    <x:row r="10">
      <x:c r="A10" s="50" t="str">
        <x:v>1.4</x:v>
      </x:c>
      <x:c r="B10" s="50" t="str">
        <x:v>MMSE scale at 18 months</x:v>
      </x:c>
      <x:c r="C10" s="50" t="str">
        <x:v>SMD</x:v>
      </x:c>
      <x:c r="D10" s="59" t="n">
        <x:v>8</x:v>
      </x:c>
      <x:c r="E10" s="50" t="str">
        <x:v>Futility termination (binary)</x:v>
      </x:c>
      <x:c r="F10" s="65" t="n">
        <x:v>-0.06305551835110104</x:v>
      </x:c>
      <x:c r="G10" s="65" t="n">
        <x:v>-0.2415559817383187</x:v>
      </x:c>
      <x:c r="H10" s="65" t="n">
        <x:v>0.1154449450361166</x:v>
      </x:c>
      <x:c r="I10" s="65" t="n">
        <x:v>0.4205903593820106</x:v>
      </x:c>
      <x:c r="J10" s="56" t="n">
        <x:v>0.00667476624453566</x:v>
      </x:c>
    </x:row>
    <x:row r="11">
      <x:c r="A11" s="50" t="str">
        <x:v>1.4</x:v>
      </x:c>
      <x:c r="B11" s="50" t="str">
        <x:v>MMSE scale at 18 months</x:v>
      </x:c>
      <x:c r="C11" s="50" t="str">
        <x:v>SMD</x:v>
      </x:c>
      <x:c r="D11" s="59" t="n">
        <x:v>8</x:v>
      </x:c>
      <x:c r="E11" s="50" t="str">
        <x:v>Trial publication year per 5 years</x:v>
      </x:c>
      <x:c r="F11" s="65" t="n">
        <x:v>-0.01023265102315435</x:v>
      </x:c>
      <x:c r="G11" s="65" t="n">
        <x:v>-0.1715220797719971</x:v>
      </x:c>
      <x:c r="H11" s="65" t="n">
        <x:v>0.1510567777256884</x:v>
      </x:c>
      <x:c r="I11" s="65" t="n">
        <x:v>0.8817237903757553</x:v>
      </x:c>
      <x:c r="J11" s="56" t="n">
        <x:v>10.241152221036502</x:v>
      </x:c>
    </x:row>
    <x:row r="12">
      <x:c r="A12" s="50" t="str">
        <x:v>1.4</x:v>
      </x:c>
      <x:c r="B12" s="50" t="str">
        <x:v>MMSE scale at 18 months</x:v>
      </x:c>
      <x:c r="C12" s="50" t="str">
        <x:v>SMD</x:v>
      </x:c>
      <x:c r="D12" s="59" t="n">
        <x:v>6</x:v>
      </x:c>
      <x:c r="E12" s="50" t="str">
        <x:v>ARIA-E risk difference per 10 percentage points</x:v>
      </x:c>
      <x:c r="F12" s="65" t="n">
        <x:v>-0.01149964212872274</x:v>
      </x:c>
      <x:c r="G12" s="65" t="n">
        <x:v>-0.07086021683037723</x:v>
      </x:c>
      <x:c r="H12" s="65" t="n">
        <x:v>0.04786093257293174</x:v>
      </x:c>
      <x:c r="I12" s="65" t="n">
        <x:v>0.6191991797743129</x:v>
      </x:c>
      <x:c r="J12" s="56" t="n">
        <x:v>21.87169445141202</x:v>
      </x:c>
    </x:row>
    <x:row r="13">
      <x:c r="A13" s="50" t="str">
        <x:v>2.1</x:v>
      </x:c>
      <x:c r="B13" s="50" t="str">
        <x:v>CDR-SB scale at 18 months</x:v>
      </x:c>
      <x:c r="C13" s="50" t="str">
        <x:v>SMD</x:v>
      </x:c>
      <x:c r="D13" s="59" t="n">
        <x:v>9</x:v>
      </x:c>
      <x:c r="E13" s="50" t="str">
        <x:v>Biomarker-confirmed enrollment (binary)</x:v>
      </x:c>
      <x:c r="F13" s="65" t="n">
        <x:v>-0.08897971929016936</x:v>
      </x:c>
      <x:c r="G13" s="65" t="n">
        <x:v>-0.4513974468449825</x:v>
      </x:c>
      <x:c r="H13" s="65" t="n">
        <x:v>0.2734380082646438</x:v>
      </x:c>
      <x:c r="I13" s="65" t="n">
        <x:v>0.57974138123142</x:v>
      </x:c>
      <x:c r="J13" s="56" t="n">
        <x:v>68.06131773570853</x:v>
      </x:c>
    </x:row>
    <x:row r="14">
      <x:c r="A14" s="50" t="str">
        <x:v>2.1</x:v>
      </x:c>
      <x:c r="B14" s="50" t="str">
        <x:v>CDR-SB scale at 18 months</x:v>
      </x:c>
      <x:c r="C14" s="50" t="str">
        <x:v>SMD</x:v>
      </x:c>
      <x:c r="D14" s="59" t="n">
        <x:v>9</x:v>
      </x:c>
      <x:c r="E14" s="50" t="str">
        <x:v>Futility termination (binary)</x:v>
      </x:c>
      <x:c r="F14" s="65" t="n">
        <x:v>0.06629418083640842</x:v>
      </x:c>
      <x:c r="G14" s="65" t="n">
        <x:v>-0.2038756500171996</x:v>
      </x:c>
      <x:c r="H14" s="65" t="n">
        <x:v>0.3364640116900165</x:v>
      </x:c>
      <x:c r="I14" s="65" t="n">
        <x:v>0.5799486100219873</x:v>
      </x:c>
      <x:c r="J14" s="56" t="n">
        <x:v>68.33171761640017</x:v>
      </x:c>
    </x:row>
    <x:row r="15">
      <x:c r="A15" s="50" t="str">
        <x:v>2.1</x:v>
      </x:c>
      <x:c r="B15" s="50" t="str">
        <x:v>CDR-SB scale at 18 months</x:v>
      </x:c>
      <x:c r="C15" s="50" t="str">
        <x:v>SMD</x:v>
      </x:c>
      <x:c r="D15" s="59" t="n">
        <x:v>9</x:v>
      </x:c>
      <x:c r="E15" s="50" t="str">
        <x:v>Trial publication year per 5 years</x:v>
      </x:c>
      <x:c r="F15" s="65" t="n">
        <x:v>-0.1309958553973634</x:v>
      </x:c>
      <x:c r="G15" s="65" t="n">
        <x:v>-0.3008859216471118</x:v>
      </x:c>
      <x:c r="H15" s="65" t="n">
        <x:v>0.03889421085238504</x:v>
      </x:c>
      <x:c r="I15" s="65" t="n">
        <x:v>0.1110347431319557</x:v>
      </x:c>
      <x:c r="J15" s="56" t="n">
        <x:v>42.20036659797815</x:v>
      </x:c>
    </x:row>
    <x:row r="16">
      <x:c r="A16" s="50" t="str">
        <x:v>2.1</x:v>
      </x:c>
      <x:c r="B16" s="50" t="str">
        <x:v>CDR-SB scale at 18 months</x:v>
      </x:c>
      <x:c r="C16" s="50" t="str">
        <x:v>SMD</x:v>
      </x:c>
      <x:c r="D16" s="59" t="n">
        <x:v>7</x:v>
      </x:c>
      <x:c r="E16" s="50" t="str">
        <x:v>ARIA-E risk difference per 10 percentage points</x:v>
      </x:c>
      <x:c r="F16" s="65" t="n">
        <x:v>-0.008131377027945025</x:v>
      </x:c>
      <x:c r="G16" s="65" t="n">
        <x:v>-0.118978326489694</x:v>
      </x:c>
      <x:c r="H16" s="65" t="n">
        <x:v>0.1027155724338039</x:v>
      </x:c>
      <x:c r="I16" s="65" t="n">
        <x:v>0.8578449293880429</x:v>
      </x:c>
      <x:c r="J16" s="56" t="n">
        <x:v>73.99786000202633</x:v>
      </x:c>
    </x:row>
    <x:row r="17">
      <x:c r="A17" s="50" t="str">
        <x:v>3.5</x:v>
      </x:c>
      <x:c r="B17" s="50" t="str">
        <x:v>ADCS-ADL-MCI score at 18 months</x:v>
      </x:c>
      <x:c r="C17" s="50" t="str">
        <x:v>SMD</x:v>
      </x:c>
      <x:c r="D17" s="59" t="n">
        <x:v>4</x:v>
      </x:c>
      <x:c r="E17" s="50" t="str">
        <x:v>Futility termination (binary)</x:v>
      </x:c>
      <x:c r="F17" s="65" t="n">
        <x:v>-0.05453706769596337</x:v>
      </x:c>
      <x:c r="G17" s="65" t="n">
        <x:v>-0.4421337544799621</x:v>
      </x:c>
      <x:c r="H17" s="65" t="n">
        <x:v>0.3330596190880353</x:v>
      </x:c>
      <x:c r="I17" s="65" t="n">
        <x:v>0.6064562137983798</x:v>
      </x:c>
      <x:c r="J17" s="56" t="n">
        <x:v>26.861857272084162</x:v>
      </x:c>
    </x:row>
    <x:row r="18">
      <x:c r="A18" s="51" t="str">
        <x:v>3.5</x:v>
      </x:c>
      <x:c r="B18" s="51" t="str">
        <x:v>ADCS-ADL-MCI score at 18 months</x:v>
      </x:c>
      <x:c r="C18" s="51" t="str">
        <x:v>SMD</x:v>
      </x:c>
      <x:c r="D18" s="60" t="n">
        <x:v>4</x:v>
      </x:c>
      <x:c r="E18" s="51" t="str">
        <x:v>Trial publication year per 5 years</x:v>
      </x:c>
      <x:c r="F18" s="66" t="n">
        <x:v>0.2297720604274446</x:v>
      </x:c>
      <x:c r="G18" s="66" t="n">
        <x:v>-1.767565810792445</x:v>
      </x:c>
      <x:c r="H18" s="66" t="n">
        <x:v>2.227109931647334</x:v>
      </x:c>
      <x:c r="I18" s="66" t="n">
        <x:v>0.6696502968925035</x:v>
      </x:c>
      <x:c r="J18" s="57" t="n">
        <x:v>27.27181811371794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48e47379e804e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Leave-one-antibody-out influence</x:v>
      </x:c>
    </x:row>
    <x:row r="2" ht="32" customHeight="1">
      <x:c r="A2" s="7" t="str">
        <x:v>Each estimate omits all contrasts for one antibody; estimates are highly dependent.</x:v>
      </x:c>
    </x:row>
    <x:row r="4" ht="28" customHeight="1">
      <x:c r="A4" s="39" t="str">
        <x:v>ID</x:v>
      </x:c>
      <x:c r="B4" s="40" t="str">
        <x:v>Outcome</x:v>
      </x:c>
      <x:c r="C4" s="40" t="str">
        <x:v>Measure</x:v>
      </x:c>
      <x:c r="D4" s="40" t="str">
        <x:v>Omitted antibody</x:v>
      </x:c>
      <x:c r="E4" s="40" t="str">
        <x:v>k</x:v>
      </x:c>
      <x:c r="F4" s="40" t="str">
        <x:v>Estimate</x:v>
      </x:c>
      <x:c r="G4" s="40" t="str">
        <x:v>CI low</x:v>
      </x:c>
      <x:c r="H4" s="40" t="str">
        <x:v>CI high</x:v>
      </x:c>
      <x:c r="I4" s="40" t="str">
        <x:v>P</x:v>
      </x:c>
      <x:c r="J4" s="41" t="str">
        <x:v>I² (%)</x:v>
      </x:c>
    </x:row>
    <x:row r="5">
      <x:c r="A5" s="49" t="str">
        <x:v>1.1</x:v>
      </x:c>
      <x:c r="B5" s="49" t="str">
        <x:v>ADAS-Cog scale at 18 months</x:v>
      </x:c>
      <x:c r="C5" s="49" t="str">
        <x:v>SMD</x:v>
      </x:c>
      <x:c r="D5" s="49" t="str">
        <x:v>Aducanumab</x:v>
      </x:c>
      <x:c r="E5" s="58" t="n">
        <x:v>10</x:v>
      </x:c>
      <x:c r="F5" s="61" t="n">
        <x:v>-0.1049692379932679</x:v>
      </x:c>
      <x:c r="G5" s="61" t="n">
        <x:v>-0.1610393141180459</x:v>
      </x:c>
      <x:c r="H5" s="61" t="n">
        <x:v>-0.04889916186848994</x:v>
      </x:c>
      <x:c r="I5" s="64" t="n">
        <x:v>0.002190380585177906</x:v>
      </x:c>
      <x:c r="J5" s="55" t="n">
        <x:v>16.80439878356485</x:v>
      </x:c>
    </x:row>
    <x:row r="6">
      <x:c r="A6" s="50" t="str">
        <x:v>1.1</x:v>
      </x:c>
      <x:c r="B6" s="50" t="str">
        <x:v>ADAS-Cog scale at 18 months</x:v>
      </x:c>
      <x:c r="C6" s="50" t="str">
        <x:v>SMD</x:v>
      </x:c>
      <x:c r="D6" s="50" t="str">
        <x:v>Bapineuzumab</x:v>
      </x:c>
      <x:c r="E6" s="59" t="n">
        <x:v>9</x:v>
      </x:c>
      <x:c r="F6" s="62" t="n">
        <x:v>-0.1332566770034314</x:v>
      </x:c>
      <x:c r="G6" s="62" t="n">
        <x:v>-0.1829101853241167</x:v>
      </x:c>
      <x:c r="H6" s="62" t="n">
        <x:v>-0.08360316868274609</x:v>
      </x:c>
      <x:c r="I6" s="65" t="n">
        <x:v>0.0002626454772415413</x:v>
      </x:c>
      <x:c r="J6" s="56" t="n">
        <x:v>4.073442841112508</x:v>
      </x:c>
    </x:row>
    <x:row r="7">
      <x:c r="A7" s="50" t="str">
        <x:v>1.1</x:v>
      </x:c>
      <x:c r="B7" s="50" t="str">
        <x:v>ADAS-Cog scale at 18 months</x:v>
      </x:c>
      <x:c r="C7" s="50" t="str">
        <x:v>SMD</x:v>
      </x:c>
      <x:c r="D7" s="50" t="str">
        <x:v>Crenezumab</x:v>
      </x:c>
      <x:c r="E7" s="59" t="n">
        <x:v>12</x:v>
      </x:c>
      <x:c r="F7" s="62" t="n">
        <x:v>-0.1098208161006034</x:v>
      </x:c>
      <x:c r="G7" s="62" t="n">
        <x:v>-0.1608464766408414</x:v>
      </x:c>
      <x:c r="H7" s="62" t="n">
        <x:v>-0.05879515556036537</x:v>
      </x:c>
      <x:c r="I7" s="65" t="n">
        <x:v>0.0006122929940867096</x:v>
      </x:c>
      <x:c r="J7" s="56" t="n">
        <x:v>11.388816787626368</x:v>
      </x:c>
    </x:row>
    <x:row r="8">
      <x:c r="A8" s="50" t="str">
        <x:v>1.1</x:v>
      </x:c>
      <x:c r="B8" s="50" t="str">
        <x:v>ADAS-Cog scale at 18 months</x:v>
      </x:c>
      <x:c r="C8" s="50" t="str">
        <x:v>SMD</x:v>
      </x:c>
      <x:c r="D8" s="50" t="str">
        <x:v>Donanemab</x:v>
      </x:c>
      <x:c r="E8" s="59" t="n">
        <x:v>12</x:v>
      </x:c>
      <x:c r="F8" s="62" t="n">
        <x:v>-0.1008966083482239</x:v>
      </x:c>
      <x:c r="G8" s="62" t="n">
        <x:v>-0.1535436283891202</x:v>
      </x:c>
      <x:c r="H8" s="62" t="n">
        <x:v>-0.04824958830732765</x:v>
      </x:c>
      <x:c r="I8" s="65" t="n">
        <x:v>0.001440908521938866</x:v>
      </x:c>
      <x:c r="J8" s="56" t="n">
        <x:v>10.61840742740757</x:v>
      </x:c>
    </x:row>
    <x:row r="9">
      <x:c r="A9" s="50" t="str">
        <x:v>1.1</x:v>
      </x:c>
      <x:c r="B9" s="50" t="str">
        <x:v>ADAS-Cog scale at 18 months</x:v>
      </x:c>
      <x:c r="C9" s="50" t="str">
        <x:v>SMD</x:v>
      </x:c>
      <x:c r="D9" s="50" t="str">
        <x:v>Gantenerumab</x:v>
      </x:c>
      <x:c r="E9" s="59" t="n">
        <x:v>12</x:v>
      </x:c>
      <x:c r="F9" s="62" t="n">
        <x:v>-0.1141513097295684</x:v>
      </x:c>
      <x:c r="G9" s="62" t="n">
        <x:v>-0.1654561674320554</x:v>
      </x:c>
      <x:c r="H9" s="62" t="n">
        <x:v>-0.06284645202708142</x:v>
      </x:c>
      <x:c r="I9" s="65" t="n">
        <x:v>0.0004737965860094278</x:v>
      </x:c>
      <x:c r="J9" s="56" t="n">
        <x:v>10.610751638326237</x:v>
      </x:c>
    </x:row>
    <x:row r="10">
      <x:c r="A10" s="50" t="str">
        <x:v>1.1</x:v>
      </x:c>
      <x:c r="B10" s="50" t="str">
        <x:v>ADAS-Cog scale at 18 months</x:v>
      </x:c>
      <x:c r="C10" s="50" t="str">
        <x:v>SMD</x:v>
      </x:c>
      <x:c r="D10" s="50" t="str">
        <x:v>Lecanemab</x:v>
      </x:c>
      <x:c r="E10" s="59" t="n">
        <x:v>12</x:v>
      </x:c>
      <x:c r="F10" s="62" t="n">
        <x:v>-0.1000134282376349</x:v>
      </x:c>
      <x:c r="G10" s="62" t="n">
        <x:v>-0.154036998560494</x:v>
      </x:c>
      <x:c r="H10" s="62" t="n">
        <x:v>-0.04598985791477578</x:v>
      </x:c>
      <x:c r="I10" s="65" t="n">
        <x:v>0.001836783635367571</x:v>
      </x:c>
      <x:c r="J10" s="56" t="n">
        <x:v>10.253711746686857</x:v>
      </x:c>
    </x:row>
    <x:row r="11">
      <x:c r="A11" s="50" t="str">
        <x:v>1.1</x:v>
      </x:c>
      <x:c r="B11" s="50" t="str">
        <x:v>ADAS-Cog scale at 18 months</x:v>
      </x:c>
      <x:c r="C11" s="50" t="str">
        <x:v>SMD</x:v>
      </x:c>
      <x:c r="D11" s="50" t="str">
        <x:v>Solanezumab</x:v>
      </x:c>
      <x:c r="E11" s="59" t="n">
        <x:v>11</x:v>
      </x:c>
      <x:c r="F11" s="62" t="n">
        <x:v>-0.1058539711962206</x:v>
      </x:c>
      <x:c r="G11" s="62" t="n">
        <x:v>-0.1706046101394762</x:v>
      </x:c>
      <x:c r="H11" s="62" t="n">
        <x:v>-0.04110333225296504</x:v>
      </x:c>
      <x:c r="I11" s="65" t="n">
        <x:v>0.004517682543225102</x:v>
      </x:c>
      <x:c r="J11" s="56" t="n">
        <x:v>17.796283681568116</x:v>
      </x:c>
    </x:row>
    <x:row r="12">
      <x:c r="A12" s="50" t="str">
        <x:v>2.1</x:v>
      </x:c>
      <x:c r="B12" s="50" t="str">
        <x:v>CDR-SB scale at 18 months</x:v>
      </x:c>
      <x:c r="C12" s="50" t="str">
        <x:v>SMD</x:v>
      </x:c>
      <x:c r="D12" s="50" t="str">
        <x:v>Aducanumab</x:v>
      </x:c>
      <x:c r="E12" s="59" t="n">
        <x:v>6</x:v>
      </x:c>
      <x:c r="F12" s="62" t="n">
        <x:v>-0.1392821527368734</x:v>
      </x:c>
      <x:c r="G12" s="62" t="n">
        <x:v>-0.3001695916799177</x:v>
      </x:c>
      <x:c r="H12" s="62" t="n">
        <x:v>0.021605286206171</x:v>
      </x:c>
      <x:c r="I12" s="65" t="n">
        <x:v>0.0766081435168854</x:v>
      </x:c>
      <x:c r="J12" s="56" t="n">
        <x:v>73.86563731339781</x:v>
      </x:c>
    </x:row>
    <x:row r="13">
      <x:c r="A13" s="50" t="str">
        <x:v>2.1</x:v>
      </x:c>
      <x:c r="B13" s="50" t="str">
        <x:v>CDR-SB scale at 18 months</x:v>
      </x:c>
      <x:c r="C13" s="50" t="str">
        <x:v>SMD</x:v>
      </x:c>
      <x:c r="D13" s="50" t="str">
        <x:v>Crenezumab</x:v>
      </x:c>
      <x:c r="E13" s="59" t="n">
        <x:v>8</x:v>
      </x:c>
      <x:c r="F13" s="62" t="n">
        <x:v>-0.1157699114016737</x:v>
      </x:c>
      <x:c r="G13" s="62" t="n">
        <x:v>-0.229591753312025</x:v>
      </x:c>
      <x:c r="H13" s="62" t="n">
        <x:v>-0.001948069491322355</x:v>
      </x:c>
      <x:c r="I13" s="65" t="n">
        <x:v>0.04711219744353707</x:v>
      </x:c>
      <x:c r="J13" s="56" t="n">
        <x:v>69.50459160118051</x:v>
      </x:c>
    </x:row>
    <x:row r="14">
      <x:c r="A14" s="50" t="str">
        <x:v>2.1</x:v>
      </x:c>
      <x:c r="B14" s="50" t="str">
        <x:v>CDR-SB scale at 18 months</x:v>
      </x:c>
      <x:c r="C14" s="50" t="str">
        <x:v>SMD</x:v>
      </x:c>
      <x:c r="D14" s="50" t="str">
        <x:v>Donanemab</x:v>
      </x:c>
      <x:c r="E14" s="59" t="n">
        <x:v>8</x:v>
      </x:c>
      <x:c r="F14" s="62" t="n">
        <x:v>-0.09557758932196604</x:v>
      </x:c>
      <x:c r="G14" s="62" t="n">
        <x:v>-0.2024956624317901</x:v>
      </x:c>
      <x:c r="H14" s="62" t="n">
        <x:v>0.01134048378785801</x:v>
      </x:c>
      <x:c r="I14" s="65" t="n">
        <x:v>0.07237947728536312</x:v>
      </x:c>
      <x:c r="J14" s="56" t="n">
        <x:v>44.370106032152826</x:v>
      </x:c>
    </x:row>
    <x:row r="15">
      <x:c r="A15" s="50" t="str">
        <x:v>2.1</x:v>
      </x:c>
      <x:c r="B15" s="50" t="str">
        <x:v>CDR-SB scale at 18 months</x:v>
      </x:c>
      <x:c r="C15" s="50" t="str">
        <x:v>SMD</x:v>
      </x:c>
      <x:c r="D15" s="50" t="str">
        <x:v>Gantenerumab</x:v>
      </x:c>
      <x:c r="E15" s="59" t="n">
        <x:v>8</x:v>
      </x:c>
      <x:c r="F15" s="62" t="n">
        <x:v>-0.1414559174160335</x:v>
      </x:c>
      <x:c r="G15" s="62" t="n">
        <x:v>-0.2662898552855385</x:v>
      </x:c>
      <x:c r="H15" s="62" t="n">
        <x:v>-0.01662197954652846</x:v>
      </x:c>
      <x:c r="I15" s="65" t="n">
        <x:v>0.0315630134436238</x:v>
      </x:c>
      <x:c r="J15" s="56" t="n">
        <x:v>66.14358434873294</x:v>
      </x:c>
    </x:row>
    <x:row r="16">
      <x:c r="A16" s="50" t="str">
        <x:v>2.1</x:v>
      </x:c>
      <x:c r="B16" s="50" t="str">
        <x:v>CDR-SB scale at 18 months</x:v>
      </x:c>
      <x:c r="C16" s="50" t="str">
        <x:v>SMD</x:v>
      </x:c>
      <x:c r="D16" s="50" t="str">
        <x:v>Lecanemab</x:v>
      </x:c>
      <x:c r="E16" s="59" t="n">
        <x:v>8</x:v>
      </x:c>
      <x:c r="F16" s="62" t="n">
        <x:v>-0.1095687904802132</x:v>
      </x:c>
      <x:c r="G16" s="62" t="n">
        <x:v>-0.2543251495881527</x:v>
      </x:c>
      <x:c r="H16" s="62" t="n">
        <x:v>0.03518756862772623</x:v>
      </x:c>
      <x:c r="I16" s="65" t="n">
        <x:v>0.1166070245348311</x:v>
      </x:c>
      <x:c r="J16" s="56" t="n">
        <x:v>68.02491160784831</x:v>
      </x:c>
    </x:row>
    <x:row r="17">
      <x:c r="A17" s="50" t="str">
        <x:v>2.1</x:v>
      </x:c>
      <x:c r="B17" s="50" t="str">
        <x:v>CDR-SB scale at 18 months</x:v>
      </x:c>
      <x:c r="C17" s="50" t="str">
        <x:v>SMD</x:v>
      </x:c>
      <x:c r="D17" s="50" t="str">
        <x:v>Solanezumab</x:v>
      </x:c>
      <x:c r="E17" s="59" t="n">
        <x:v>7</x:v>
      </x:c>
      <x:c r="F17" s="62" t="n">
        <x:v>-0.1455146638956376</x:v>
      </x:c>
      <x:c r="G17" s="62" t="n">
        <x:v>-0.3316993606427789</x:v>
      </x:c>
      <x:c r="H17" s="62" t="n">
        <x:v>0.04067003285150375</x:v>
      </x:c>
      <x:c r="I17" s="65" t="n">
        <x:v>0.104358554961879</x:v>
      </x:c>
      <x:c r="J17" s="56" t="n">
        <x:v>69.35876816726571</x:v>
      </x:c>
    </x:row>
    <x:row r="18">
      <x:c r="A18" s="50" t="str">
        <x:v>3.5</x:v>
      </x:c>
      <x:c r="B18" s="50" t="str">
        <x:v>ADCS-ADL-MCI score at 18 months</x:v>
      </x:c>
      <x:c r="C18" s="50" t="str">
        <x:v>SMD</x:v>
      </x:c>
      <x:c r="D18" s="50" t="str">
        <x:v>Aducanumab</x:v>
      </x:c>
      <x:c r="E18" s="59" t="n">
        <x:v>1</x:v>
      </x:c>
      <x:c r="F18" s="62" t="n">
        <x:v>0.246614</x:v>
      </x:c>
      <x:c r="G18" s="62" t="n">
        <x:v>0.1475868196811138</x:v>
      </x:c>
      <x:c r="H18" s="62" t="n">
        <x:v>0.3456411803188862</x:v>
      </x:c>
      <x:c r="I18" s="65" t="n">
        <x:v>0.000001055336161928892</x:v>
      </x:c>
      <x:c r="J18" s="56"/>
    </x:row>
    <x:row r="19">
      <x:c r="A19" s="50" t="str">
        <x:v>3.5</x:v>
      </x:c>
      <x:c r="B19" s="50" t="str">
        <x:v>ADCS-ADL-MCI score at 18 months</x:v>
      </x:c>
      <x:c r="C19" s="50" t="str">
        <x:v>SMD</x:v>
      </x:c>
      <x:c r="D19" s="50" t="str">
        <x:v>Lecanemab</x:v>
      </x:c>
      <x:c r="E19" s="59" t="n">
        <x:v>3</x:v>
      </x:c>
      <x:c r="F19" s="62" t="n">
        <x:v>0.200659587914509</x:v>
      </x:c>
      <x:c r="G19" s="62" t="n">
        <x:v>-0.06248444140829526</x:v>
      </x:c>
      <x:c r="H19" s="62" t="n">
        <x:v>0.4638036172373133</x:v>
      </x:c>
      <x:c r="I19" s="65" t="n">
        <x:v>0.08167601032633637</x:v>
      </x:c>
      <x:c r="J19" s="56" t="n">
        <x:v>27.271818113711575</x:v>
      </x:c>
    </x:row>
    <x:row r="20">
      <x:c r="A20" s="50" t="str">
        <x:v>4.2</x:v>
      </x:c>
      <x:c r="B20" s="50" t="str">
        <x:v>Any ARIA E at 18 months</x:v>
      </x:c>
      <x:c r="C20" s="50" t="str">
        <x:v>RR</x:v>
      </x:c>
      <x:c r="D20" s="50" t="str">
        <x:v>Aducanumab</x:v>
      </x:c>
      <x:c r="E20" s="59" t="n">
        <x:v>9</x:v>
      </x:c>
      <x:c r="F20" s="62" t="n">
        <x:v>8.541670346347825</x:v>
      </x:c>
      <x:c r="G20" s="62" t="n">
        <x:v>4.220549488726299</x:v>
      </x:c>
      <x:c r="H20" s="62" t="n">
        <x:v>17.286879943136526</x:v>
      </x:c>
      <x:c r="I20" s="65" t="n">
        <x:v>0.0001108460967020025</x:v>
      </x:c>
      <x:c r="J20" s="56" t="n">
        <x:v>46.222443055841936</x:v>
      </x:c>
    </x:row>
    <x:row r="21">
      <x:c r="A21" s="50" t="str">
        <x:v>4.2</x:v>
      </x:c>
      <x:c r="B21" s="50" t="str">
        <x:v>Any ARIA E at 18 months</x:v>
      </x:c>
      <x:c r="C21" s="50" t="str">
        <x:v>RR</x:v>
      </x:c>
      <x:c r="D21" s="50" t="str">
        <x:v>Bapineuzumab</x:v>
      </x:c>
      <x:c r="E21" s="59" t="n">
        <x:v>7</x:v>
      </x:c>
      <x:c r="F21" s="62" t="n">
        <x:v>8.82945119943321</x:v>
      </x:c>
      <x:c r="G21" s="62" t="n">
        <x:v>4.694149881865923</x:v>
      </x:c>
      <x:c r="H21" s="62" t="n">
        <x:v>16.607737384853976</x:v>
      </x:c>
      <x:c r="I21" s="65" t="n">
        <x:v>0.00015140489454288</x:v>
      </x:c>
      <x:c r="J21" s="56" t="n">
        <x:v>56.67890385880951</x:v>
      </x:c>
    </x:row>
    <x:row r="22">
      <x:c r="A22" s="50" t="str">
        <x:v>4.2</x:v>
      </x:c>
      <x:c r="B22" s="50" t="str">
        <x:v>Any ARIA E at 18 months</x:v>
      </x:c>
      <x:c r="C22" s="50" t="str">
        <x:v>RR</x:v>
      </x:c>
      <x:c r="D22" s="50" t="str">
        <x:v>Crenezumab</x:v>
      </x:c>
      <x:c r="E22" s="59" t="n">
        <x:v>10</x:v>
      </x:c>
      <x:c r="F22" s="62" t="n">
        <x:v>10.124165560327912</x:v>
      </x:c>
      <x:c r="G22" s="62" t="n">
        <x:v>6.441141359750186</x:v>
      </x:c>
      <x:c r="H22" s="62" t="n">
        <x:v>15.91313131760007</x:v>
      </x:c>
      <x:c r="I22" s="65" t="n">
        <x:v>0.000001042349517380316</x:v>
      </x:c>
      <x:c r="J22" s="56" t="n">
        <x:v>26.978776771560362</x:v>
      </x:c>
    </x:row>
    <x:row r="23">
      <x:c r="A23" s="50" t="str">
        <x:v>4.2</x:v>
      </x:c>
      <x:c r="B23" s="50" t="str">
        <x:v>Any ARIA E at 18 months</x:v>
      </x:c>
      <x:c r="C23" s="50" t="str">
        <x:v>RR</x:v>
      </x:c>
      <x:c r="D23" s="50" t="str">
        <x:v>Donanemab</x:v>
      </x:c>
      <x:c r="E23" s="59" t="n">
        <x:v>10</x:v>
      </x:c>
      <x:c r="F23" s="62" t="n">
        <x:v>9.45994332146215</x:v>
      </x:c>
      <x:c r="G23" s="62" t="n">
        <x:v>5.196968648755412</x:v>
      </x:c>
      <x:c r="H23" s="62" t="n">
        <x:v>17.219755148360928</x:v>
      </x:c>
      <x:c r="I23" s="65" t="n">
        <x:v>0.00001377263282460932</x:v>
      </x:c>
      <x:c r="J23" s="56" t="n">
        <x:v>47.1983738435163</x:v>
      </x:c>
    </x:row>
    <x:row r="24">
      <x:c r="A24" s="50" t="str">
        <x:v>4.2</x:v>
      </x:c>
      <x:c r="B24" s="50" t="str">
        <x:v>Any ARIA E at 18 months</x:v>
      </x:c>
      <x:c r="C24" s="50" t="str">
        <x:v>RR</x:v>
      </x:c>
      <x:c r="D24" s="50" t="str">
        <x:v>Lecanemab</x:v>
      </x:c>
      <x:c r="E24" s="59" t="n">
        <x:v>10</x:v>
      </x:c>
      <x:c r="F24" s="62" t="n">
        <x:v>10.274769568861643</x:v>
      </x:c>
      <x:c r="G24" s="62" t="n">
        <x:v>5.647950417683452</x:v>
      </x:c>
      <x:c r="H24" s="62" t="n">
        <x:v>18.691893852798014</x:v>
      </x:c>
      <x:c r="I24" s="65" t="n">
        <x:v>0.0000101906397044234</x:v>
      </x:c>
      <x:c r="J24" s="56" t="n">
        <x:v>50.17610169219695</x:v>
      </x:c>
    </x:row>
    <x:row r="25">
      <x:c r="A25" s="50" t="str">
        <x:v>4.2</x:v>
      </x:c>
      <x:c r="B25" s="50" t="str">
        <x:v>Any ARIA E at 18 months</x:v>
      </x:c>
      <x:c r="C25" s="50" t="str">
        <x:v>RR</x:v>
      </x:c>
      <x:c r="D25" s="50" t="str">
        <x:v>Solanezumab</x:v>
      </x:c>
      <x:c r="E25" s="59" t="n">
        <x:v>9</x:v>
      </x:c>
      <x:c r="F25" s="62" t="n">
        <x:v>11.059321926601509</x:v>
      </x:c>
      <x:c r="G25" s="62" t="n">
        <x:v>8.133071100534119</x:v>
      </x:c>
      <x:c r="H25" s="62" t="n">
        <x:v>15.038427669490877</x:v>
      </x:c>
      <x:c r="I25" s="65" t="n">
        <x:v>9.179113043683173e-8</x:v>
      </x:c>
      <x:c r="J25" s="56" t="n">
        <x:v>0.00248699813014702</x:v>
      </x:c>
    </x:row>
    <x:row r="26">
      <x:c r="A26" s="50" t="str">
        <x:v>4.7</x:v>
      </x:c>
      <x:c r="B26" s="50" t="str">
        <x:v>Any ARIA H at 18 months</x:v>
      </x:c>
      <x:c r="C26" s="50" t="str">
        <x:v>RR</x:v>
      </x:c>
      <x:c r="D26" s="50" t="str">
        <x:v>Crenezumab</x:v>
      </x:c>
      <x:c r="E26" s="59" t="n">
        <x:v>2</x:v>
      </x:c>
      <x:c r="F26" s="62" t="n">
        <x:v>2.138161182743668</x:v>
      </x:c>
      <x:c r="G26" s="62" t="n">
        <x:v>1.783838716365453</x:v>
      </x:c>
      <x:c r="H26" s="62" t="n">
        <x:v>2.562862438991482</x:v>
      </x:c>
      <x:c r="I26" s="65" t="n">
        <x:v>2.018307569553946e-16</x:v>
      </x:c>
      <x:c r="J26" s="56" t="n">
        <x:v>25.597636053393902</x:v>
      </x:c>
    </x:row>
    <x:row r="27">
      <x:c r="A27" s="50" t="str">
        <x:v>4.7</x:v>
      </x:c>
      <x:c r="B27" s="50" t="str">
        <x:v>Any ARIA H at 18 months</x:v>
      </x:c>
      <x:c r="C27" s="50" t="str">
        <x:v>RR</x:v>
      </x:c>
      <x:c r="D27" s="50" t="str">
        <x:v>Donanemab</x:v>
      </x:c>
      <x:c r="E27" s="59" t="n">
        <x:v>2</x:v>
      </x:c>
      <x:c r="F27" s="62" t="n">
        <x:v>1.330416678664887</x:v>
      </x:c>
      <x:c r="G27" s="62" t="n">
        <x:v>0.6025491077781254</x:v>
      </x:c>
      <x:c r="H27" s="62" t="n">
        <x:v>2.937534079830506</x:v>
      </x:c>
      <x:c r="I27" s="65" t="n">
        <x:v>0.4799156440207577</x:v>
      </x:c>
      <x:c r="J27" s="56" t="n">
        <x:v>84.12344724498638</x:v>
      </x:c>
    </x:row>
    <x:row r="28">
      <x:c r="A28" s="50" t="str">
        <x:v>4.7</x:v>
      </x:c>
      <x:c r="B28" s="50" t="str">
        <x:v>Any ARIA H at 18 months</x:v>
      </x:c>
      <x:c r="C28" s="50" t="str">
        <x:v>RR</x:v>
      </x:c>
      <x:c r="D28" s="50" t="str">
        <x:v>Lecanemab</x:v>
      </x:c>
      <x:c r="E28" s="59" t="n">
        <x:v>2</x:v>
      </x:c>
      <x:c r="F28" s="62" t="n">
        <x:v>1.454581593301695</x:v>
      </x:c>
      <x:c r="G28" s="62" t="n">
        <x:v>0.5468329819148517</x:v>
      </x:c>
      <x:c r="H28" s="62" t="n">
        <x:v>3.86920262959112</x:v>
      </x:c>
      <x:c r="I28" s="65" t="n">
        <x:v>0.4528320440096942</x:v>
      </x:c>
      <x:c r="J28" s="56" t="n">
        <x:v>90.20664325750435</x:v>
      </x:c>
    </x:row>
    <x:row r="29">
      <x:c r="A29" s="50" t="str">
        <x:v>5.1</x:v>
      </x:c>
      <x:c r="B29" s="50" t="str">
        <x:v>SAE at 18 months</x:v>
      </x:c>
      <x:c r="C29" s="50" t="str">
        <x:v>RR</x:v>
      </x:c>
      <x:c r="D29" s="50" t="str">
        <x:v>Aducanumab</x:v>
      </x:c>
      <x:c r="E29" s="59" t="n">
        <x:v>7</x:v>
      </x:c>
      <x:c r="F29" s="62" t="n">
        <x:v>1.059901329420947</x:v>
      </x:c>
      <x:c r="G29" s="62" t="n">
        <x:v>0.9024057623919379</x:v>
      </x:c>
      <x:c r="H29" s="62" t="n">
        <x:v>1.244884369012233</x:v>
      </x:c>
      <x:c r="I29" s="65" t="n">
        <x:v>0.410267178693586</x:v>
      </x:c>
      <x:c r="J29" s="56" t="n">
        <x:v>49.453623351271055</x:v>
      </x:c>
    </x:row>
    <x:row r="30">
      <x:c r="A30" s="50" t="str">
        <x:v>5.1</x:v>
      </x:c>
      <x:c r="B30" s="50" t="str">
        <x:v>SAE at 18 months</x:v>
      </x:c>
      <x:c r="C30" s="50" t="str">
        <x:v>RR</x:v>
      </x:c>
      <x:c r="D30" s="50" t="str">
        <x:v>Bapineuzumab</x:v>
      </x:c>
      <x:c r="E30" s="59" t="n">
        <x:v>7</x:v>
      </x:c>
      <x:c r="F30" s="62" t="n">
        <x:v>0.9917865026034361</x:v>
      </x:c>
      <x:c r="G30" s="62" t="n">
        <x:v>0.8690670569368446</x:v>
      </x:c>
      <x:c r="H30" s="62" t="n">
        <x:v>1.131834947481892</x:v>
      </x:c>
      <x:c r="I30" s="65" t="n">
        <x:v>0.8835781582556487</x:v>
      </x:c>
      <x:c r="J30" s="56" t="n">
        <x:v>23.531414085753394</x:v>
      </x:c>
    </x:row>
    <x:row r="31">
      <x:c r="A31" s="50" t="str">
        <x:v>5.1</x:v>
      </x:c>
      <x:c r="B31" s="50" t="str">
        <x:v>SAE at 18 months</x:v>
      </x:c>
      <x:c r="C31" s="50" t="str">
        <x:v>RR</x:v>
      </x:c>
      <x:c r="D31" s="50" t="str">
        <x:v>Crenezumab</x:v>
      </x:c>
      <x:c r="E31" s="59" t="n">
        <x:v>8</x:v>
      </x:c>
      <x:c r="F31" s="62" t="n">
        <x:v>1.057380491680231</x:v>
      </x:c>
      <x:c r="G31" s="62" t="n">
        <x:v>0.9333475971935712</x:v>
      </x:c>
      <x:c r="H31" s="62" t="n">
        <x:v>1.197896161674105</x:v>
      </x:c>
      <x:c r="I31" s="65" t="n">
        <x:v>0.3254516227125302</x:v>
      </x:c>
      <x:c r="J31" s="56" t="n">
        <x:v>40.0399303073574</x:v>
      </x:c>
    </x:row>
    <x:row r="32">
      <x:c r="A32" s="50" t="str">
        <x:v>5.1</x:v>
      </x:c>
      <x:c r="B32" s="50" t="str">
        <x:v>SAE at 18 months</x:v>
      </x:c>
      <x:c r="C32" s="50" t="str">
        <x:v>RR</x:v>
      </x:c>
      <x:c r="D32" s="50" t="str">
        <x:v>Donanemab</x:v>
      </x:c>
      <x:c r="E32" s="59" t="n">
        <x:v>8</x:v>
      </x:c>
      <x:c r="F32" s="62" t="n">
        <x:v>1.031743960592048</x:v>
      </x:c>
      <x:c r="G32" s="62" t="n">
        <x:v>0.8924679503134972</x:v>
      </x:c>
      <x:c r="H32" s="62" t="n">
        <x:v>1.192754988954214</x:v>
      </x:c>
      <x:c r="I32" s="65" t="n">
        <x:v>0.6260186636896365</x:v>
      </x:c>
      <x:c r="J32" s="56" t="n">
        <x:v>45.40450411674273</x:v>
      </x:c>
    </x:row>
    <x:row r="33">
      <x:c r="A33" s="50" t="str">
        <x:v>5.1</x:v>
      </x:c>
      <x:c r="B33" s="50" t="str">
        <x:v>SAE at 18 months</x:v>
      </x:c>
      <x:c r="C33" s="50" t="str">
        <x:v>RR</x:v>
      </x:c>
      <x:c r="D33" s="50" t="str">
        <x:v>Lecanemab</x:v>
      </x:c>
      <x:c r="E33" s="59" t="n">
        <x:v>8</x:v>
      </x:c>
      <x:c r="F33" s="62" t="n">
        <x:v>1.017349225196679</x:v>
      </x:c>
      <x:c r="G33" s="62" t="n">
        <x:v>0.8928410043927293</x:v>
      </x:c>
      <x:c r="H33" s="62" t="n">
        <x:v>1.159220332529691</x:v>
      </x:c>
      <x:c r="I33" s="65" t="n">
        <x:v>0.7644530903203871</x:v>
      </x:c>
      <x:c r="J33" s="56" t="n">
        <x:v>36.55197762705671</x:v>
      </x:c>
    </x:row>
    <x:row r="34">
      <x:c r="A34" s="50" t="str">
        <x:v>5.1</x:v>
      </x:c>
      <x:c r="B34" s="50" t="str">
        <x:v>SAE at 18 months</x:v>
      </x:c>
      <x:c r="C34" s="50" t="str">
        <x:v>RR</x:v>
      </x:c>
      <x:c r="D34" s="50" t="str">
        <x:v>Solanezumab</x:v>
      </x:c>
      <x:c r="E34" s="59" t="n">
        <x:v>7</x:v>
      </x:c>
      <x:c r="F34" s="62" t="n">
        <x:v>1.104157300485185</x:v>
      </x:c>
      <x:c r="G34" s="62" t="n">
        <x:v>0.9548508226121315</x:v>
      </x:c>
      <x:c r="H34" s="62" t="n">
        <x:v>1.276810277944292</x:v>
      </x:c>
      <x:c r="I34" s="65" t="n">
        <x:v>0.1462012360001393</x:v>
      </x:c>
      <x:c r="J34" s="56" t="n">
        <x:v>14.458871677167217</x:v>
      </x:c>
    </x:row>
    <x:row r="35">
      <x:c r="A35" s="50" t="str">
        <x:v>6.1</x:v>
      </x:c>
      <x:c r="B35" s="50" t="str">
        <x:v>Mortality at 18 months</x:v>
      </x:c>
      <x:c r="C35" s="50" t="str">
        <x:v>RR</x:v>
      </x:c>
      <x:c r="D35" s="50" t="str">
        <x:v>Bapineuzumab</x:v>
      </x:c>
      <x:c r="E35" s="59" t="n">
        <x:v>5</x:v>
      </x:c>
      <x:c r="F35" s="62" t="n">
        <x:v>0.9695770986688078</x:v>
      </x:c>
      <x:c r="G35" s="62" t="n">
        <x:v>0.353353461787057</x:v>
      </x:c>
      <x:c r="H35" s="62" t="n">
        <x:v>2.660451507984794</x:v>
      </x:c>
      <x:c r="I35" s="65" t="n">
        <x:v>0.9363599683952553</x:v>
      </x:c>
      <x:c r="J35" s="56" t="n">
        <x:v>46.086432733612476</x:v>
      </x:c>
    </x:row>
    <x:row r="36">
      <x:c r="A36" s="50" t="str">
        <x:v>6.1</x:v>
      </x:c>
      <x:c r="B36" s="50" t="str">
        <x:v>Mortality at 18 months</x:v>
      </x:c>
      <x:c r="C36" s="50" t="str">
        <x:v>RR</x:v>
      </x:c>
      <x:c r="D36" s="50" t="str">
        <x:v>Crenezumab</x:v>
      </x:c>
      <x:c r="E36" s="59" t="n">
        <x:v>6</x:v>
      </x:c>
      <x:c r="F36" s="62" t="n">
        <x:v>1.253703494367707</x:v>
      </x:c>
      <x:c r="G36" s="62" t="n">
        <x:v>0.7155400652075709</x:v>
      </x:c>
      <x:c r="H36" s="62" t="n">
        <x:v>2.196623960300316</x:v>
      </x:c>
      <x:c r="I36" s="65" t="n">
        <x:v>0.3475296231744265</x:v>
      </x:c>
      <x:c r="J36" s="56" t="n">
        <x:v>30.824015654990806</x:v>
      </x:c>
    </x:row>
    <x:row r="37">
      <x:c r="A37" s="50" t="str">
        <x:v>6.1</x:v>
      </x:c>
      <x:c r="B37" s="50" t="str">
        <x:v>Mortality at 18 months</x:v>
      </x:c>
      <x:c r="C37" s="50" t="str">
        <x:v>RR</x:v>
      </x:c>
      <x:c r="D37" s="50" t="str">
        <x:v>Donanemab</x:v>
      </x:c>
      <x:c r="E37" s="59" t="n">
        <x:v>6</x:v>
      </x:c>
      <x:c r="F37" s="62" t="n">
        <x:v>1.073455760276458</x:v>
      </x:c>
      <x:c r="G37" s="62" t="n">
        <x:v>0.4723255970639606</x:v>
      </x:c>
      <x:c r="H37" s="62" t="n">
        <x:v>2.439646033231326</x:v>
      </x:c>
      <x:c r="I37" s="65" t="n">
        <x:v>0.8331364175270921</x:v>
      </x:c>
      <x:c r="J37" s="56" t="n">
        <x:v>38.27285448203859</x:v>
      </x:c>
    </x:row>
    <x:row r="38">
      <x:c r="A38" s="50" t="str">
        <x:v>6.1</x:v>
      </x:c>
      <x:c r="B38" s="50" t="str">
        <x:v>Mortality at 18 months</x:v>
      </x:c>
      <x:c r="C38" s="50" t="str">
        <x:v>RR</x:v>
      </x:c>
      <x:c r="D38" s="50" t="str">
        <x:v>Lecanemab</x:v>
      </x:c>
      <x:c r="E38" s="59" t="n">
        <x:v>6</x:v>
      </x:c>
      <x:c r="F38" s="62" t="n">
        <x:v>1.222310591384131</x:v>
      </x:c>
      <x:c r="G38" s="62" t="n">
        <x:v>0.5493055314381609</x:v>
      </x:c>
      <x:c r="H38" s="62" t="n">
        <x:v>2.719876455454952</x:v>
      </x:c>
      <x:c r="I38" s="65" t="n">
        <x:v>0.5472562551110475</x:v>
      </x:c>
      <x:c r="J38" s="56" t="n">
        <x:v>39.30265463162874</x:v>
      </x:c>
    </x:row>
    <x:row r="39">
      <x:c r="A39" s="50" t="str">
        <x:v>6.1</x:v>
      </x:c>
      <x:c r="B39" s="50" t="str">
        <x:v>Mortality at 18 months</x:v>
      </x:c>
      <x:c r="C39" s="50" t="str">
        <x:v>RR</x:v>
      </x:c>
      <x:c r="D39" s="50" t="str">
        <x:v>Solanezumab</x:v>
      </x:c>
      <x:c r="E39" s="59" t="n">
        <x:v>5</x:v>
      </x:c>
      <x:c r="F39" s="62" t="n">
        <x:v>1.386986726512199</x:v>
      </x:c>
      <x:c r="G39" s="62" t="n">
        <x:v>0.6372682772620417</x:v>
      </x:c>
      <x:c r="H39" s="62" t="n">
        <x:v>3.018716368224298</x:v>
      </x:c>
      <x:c r="I39" s="65" t="n">
        <x:v>0.307714298578714</x:v>
      </x:c>
      <x:c r="J39" s="56" t="n">
        <x:v>0.0001476720445869836</x:v>
      </x:c>
    </x:row>
    <x:row r="40">
      <x:c r="A40" s="50" t="str">
        <x:v>9.1</x:v>
      </x:c>
      <x:c r="B40" s="50" t="str">
        <x:v>Study discontinuation at 18 months</x:v>
      </x:c>
      <x:c r="C40" s="50" t="str">
        <x:v>RR</x:v>
      </x:c>
      <x:c r="D40" s="50" t="str">
        <x:v>Aducanumab</x:v>
      </x:c>
      <x:c r="E40" s="59" t="n">
        <x:v>9</x:v>
      </x:c>
      <x:c r="F40" s="62" t="n">
        <x:v>1.102302324614982</x:v>
      </x:c>
      <x:c r="G40" s="62" t="n">
        <x:v>0.9902915846527616</x:v>
      </x:c>
      <x:c r="H40" s="62" t="n">
        <x:v>1.226982470297017</x:v>
      </x:c>
      <x:c r="I40" s="65" t="n">
        <x:v>0.06936137267543316</x:v>
      </x:c>
      <x:c r="J40" s="56" t="n">
        <x:v>54.191424405692686</x:v>
      </x:c>
    </x:row>
    <x:row r="41">
      <x:c r="A41" s="50" t="str">
        <x:v>9.1</x:v>
      </x:c>
      <x:c r="B41" s="50" t="str">
        <x:v>Study discontinuation at 18 months</x:v>
      </x:c>
      <x:c r="C41" s="50" t="str">
        <x:v>RR</x:v>
      </x:c>
      <x:c r="D41" s="50" t="str">
        <x:v>Bapineuzumab</x:v>
      </x:c>
      <x:c r="E41" s="59" t="n">
        <x:v>7</x:v>
      </x:c>
      <x:c r="F41" s="62" t="n">
        <x:v>1.162375567041408</x:v>
      </x:c>
      <x:c r="G41" s="62" t="n">
        <x:v>0.9992260319080378</x:v>
      </x:c>
      <x:c r="H41" s="62" t="n">
        <x:v>1.352163490251405</x:v>
      </x:c>
      <x:c r="I41" s="65" t="n">
        <x:v>0.0508583324350679</x:v>
      </x:c>
      <x:c r="J41" s="56" t="n">
        <x:v>51.76973063854371</x:v>
      </x:c>
    </x:row>
    <x:row r="42">
      <x:c r="A42" s="50" t="str">
        <x:v>9.1</x:v>
      </x:c>
      <x:c r="B42" s="50" t="str">
        <x:v>Study discontinuation at 18 months</x:v>
      </x:c>
      <x:c r="C42" s="50" t="str">
        <x:v>RR</x:v>
      </x:c>
      <x:c r="D42" s="50" t="str">
        <x:v>Crenezumab</x:v>
      </x:c>
      <x:c r="E42" s="59" t="n">
        <x:v>10</x:v>
      </x:c>
      <x:c r="F42" s="62" t="n">
        <x:v>1.115014065181776</x:v>
      </x:c>
      <x:c r="G42" s="62" t="n">
        <x:v>1.009404009589105</x:v>
      </x:c>
      <x:c r="H42" s="62" t="n">
        <x:v>1.231673694321146</x:v>
      </x:c>
      <x:c r="I42" s="65" t="n">
        <x:v>0.03528281261051962</x:v>
      </x:c>
      <x:c r="J42" s="56" t="n">
        <x:v>52.336645048880236</x:v>
      </x:c>
    </x:row>
    <x:row r="43">
      <x:c r="A43" s="50" t="str">
        <x:v>9.1</x:v>
      </x:c>
      <x:c r="B43" s="50" t="str">
        <x:v>Study discontinuation at 18 months</x:v>
      </x:c>
      <x:c r="C43" s="50" t="str">
        <x:v>RR</x:v>
      </x:c>
      <x:c r="D43" s="50" t="str">
        <x:v>Donanemab</x:v>
      </x:c>
      <x:c r="E43" s="59" t="n">
        <x:v>10</x:v>
      </x:c>
      <x:c r="F43" s="62" t="n">
        <x:v>1.087829889191143</x:v>
      </x:c>
      <x:c r="G43" s="62" t="n">
        <x:v>0.9945040705674578</x:v>
      </x:c>
      <x:c r="H43" s="62" t="n">
        <x:v>1.189913548712161</x:v>
      </x:c>
      <x:c r="I43" s="65" t="n">
        <x:v>0.06271417248496093</x:v>
      </x:c>
      <x:c r="J43" s="56" t="n">
        <x:v>32.83826736192789</x:v>
      </x:c>
    </x:row>
    <x:row r="44">
      <x:c r="A44" s="50" t="str">
        <x:v>9.1</x:v>
      </x:c>
      <x:c r="B44" s="50" t="str">
        <x:v>Study discontinuation at 18 months</x:v>
      </x:c>
      <x:c r="C44" s="50" t="str">
        <x:v>RR</x:v>
      </x:c>
      <x:c r="D44" s="50" t="str">
        <x:v>Lecanemab</x:v>
      </x:c>
      <x:c r="E44" s="59" t="n">
        <x:v>10</x:v>
      </x:c>
      <x:c r="F44" s="62" t="n">
        <x:v>1.113419439898967</x:v>
      </x:c>
      <x:c r="G44" s="62" t="n">
        <x:v>1.003808915784464</x:v>
      </x:c>
      <x:c r="H44" s="62" t="n">
        <x:v>1.234998842559709</x:v>
      </x:c>
      <x:c r="I44" s="65" t="n">
        <x:v>0.04365112621544248</x:v>
      </x:c>
      <x:c r="J44" s="56" t="n">
        <x:v>52.63703465588842</x:v>
      </x:c>
    </x:row>
    <x:row r="45">
      <x:c r="A45" s="51" t="str">
        <x:v>9.1</x:v>
      </x:c>
      <x:c r="B45" s="51" t="str">
        <x:v>Study discontinuation at 18 months</x:v>
      </x:c>
      <x:c r="C45" s="51" t="str">
        <x:v>RR</x:v>
      </x:c>
      <x:c r="D45" s="51" t="str">
        <x:v>Solanezumab</x:v>
      </x:c>
      <x:c r="E45" s="60" t="n">
        <x:v>9</x:v>
      </x:c>
      <x:c r="F45" s="63" t="n">
        <x:v>1.158901398285326</x:v>
      </x:c>
      <x:c r="G45" s="63" t="n">
        <x:v>1.053649872205023</x:v>
      </x:c>
      <x:c r="H45" s="63" t="n">
        <x:v>1.27466674307758</x:v>
      </x:c>
      <x:c r="I45" s="66" t="n">
        <x:v>0.007275366098780475</x:v>
      </x:c>
      <x:c r="J45" s="57" t="n">
        <x:v>46.12671143176366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5b7a3a2242741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1" hidden="0" customWidth="1"/>
    <x:col min="4" max="4" width="50" hidden="0" customWidth="1"/>
    <x:col min="5" max="5" width="21" hidden="0" customWidth="1"/>
    <x:col min="6" max="6" width="22" hidden="0" customWidth="1"/>
    <x:col min="7" max="7" width="24" hidden="0" customWidth="1"/>
    <x:col min="8" max="8" width="48" hidden="0" customWidth="1"/>
  </x:cols>
  <x:sheetData>
    <x:row r="1" ht="34" customHeight="1">
      <x:c r="A1" s="3" t="str">
        <x:v>Trial and antibody annotations</x:v>
      </x:c>
    </x:row>
    <x:row r="2" ht="32" customHeight="1">
      <x:c r="A2" s="7" t="str">
        <x:v>Status coding follows Cochrane; target classes summarize predominant binding preference.</x:v>
      </x:c>
    </x:row>
    <x:row r="4" ht="28" customHeight="1">
      <x:c r="A4" s="39" t="str">
        <x:v>Study</x:v>
      </x:c>
      <x:c r="B4" s="40" t="str">
        <x:v>Antibody</x:v>
      </x:c>
      <x:c r="C4" s="40" t="str">
        <x:v>Target class</x:v>
      </x:c>
      <x:c r="D4" s="40" t="str">
        <x:v>Target detail</x:v>
      </x:c>
      <x:c r="E4" s="40" t="str">
        <x:v>Termination status</x:v>
      </x:c>
      <x:c r="F4" s="40" t="str">
        <x:v>Reason</x:v>
      </x:c>
      <x:c r="G4" s="40" t="str">
        <x:v>Biomarker requirement</x:v>
      </x:c>
      <x:c r="H4" s="41" t="str">
        <x:v>Status source</x:v>
      </x:c>
    </x:row>
    <x:row r="5">
      <x:c r="A5" s="49" t="str">
        <x:v>EMERGE 2022</x:v>
      </x:c>
      <x:c r="B5" s="49" t="str">
        <x:v>Aducanumab</x:v>
      </x:c>
      <x:c r="C5" s="49" t="str">
        <x:v>Aggregated/fibrillar Aβ</x:v>
      </x:c>
      <x:c r="D5" s="49" t="str">
        <x:v>Aggregated soluble oligomers and insoluble fibrils</x:v>
      </x:c>
      <x:c r="E5" s="49" t="str">
        <x:v>Early terminated</x:v>
      </x:c>
      <x:c r="F5" s="49" t="str">
        <x:v>Futility</x:v>
      </x:c>
      <x:c r="G5" s="49" t="str">
        <x:v>Required</x:v>
      </x:c>
      <x:c r="H5" s="49" t="str">
        <x:v>Cochrane CD016297 refs 97/111 and study description</x:v>
      </x:c>
    </x:row>
    <x:row r="6">
      <x:c r="A6" s="50" t="str">
        <x:v>ENGAGE 2022</x:v>
      </x:c>
      <x:c r="B6" s="50" t="str">
        <x:v>Aducanumab</x:v>
      </x:c>
      <x:c r="C6" s="50" t="str">
        <x:v>Aggregated/fibrillar Aβ</x:v>
      </x:c>
      <x:c r="D6" s="50" t="str">
        <x:v>Aggregated soluble oligomers and insoluble fibrils</x:v>
      </x:c>
      <x:c r="E6" s="50" t="str">
        <x:v>Early terminated</x:v>
      </x:c>
      <x:c r="F6" s="50" t="str">
        <x:v>Futility</x:v>
      </x:c>
      <x:c r="G6" s="50" t="str">
        <x:v>Required</x:v>
      </x:c>
      <x:c r="H6" s="50" t="str">
        <x:v>Cochrane CD016297 refs 97/111 and study description</x:v>
      </x:c>
    </x:row>
    <x:row r="7">
      <x:c r="A7" s="50" t="str">
        <x:v>ENVISION</x:v>
      </x:c>
      <x:c r="B7" s="50" t="str">
        <x:v>Aducanumab</x:v>
      </x:c>
      <x:c r="C7" s="50" t="str">
        <x:v>Aggregated/fibrillar Aβ</x:v>
      </x:c>
      <x:c r="D7" s="50" t="str">
        <x:v>Aggregated soluble oligomers and insoluble fibrils</x:v>
      </x:c>
      <x:c r="E7" s="50" t="str">
        <x:v>Early terminated</x:v>
      </x:c>
      <x:c r="F7" s="50" t="str">
        <x:v>Reason not reported</x:v>
      </x:c>
      <x:c r="G7" s="50" t="str">
        <x:v>Required</x:v>
      </x:c>
      <x:c r="H7" s="50" t="str">
        <x:v>Cochrane CD016297 ref 99 and study description</x:v>
      </x:c>
    </x:row>
    <x:row r="8">
      <x:c r="A8" s="50" t="str">
        <x:v>3000 Non Carriers 2016</x:v>
      </x:c>
      <x:c r="B8" s="50" t="str">
        <x:v>Bapineuzumab</x:v>
      </x:c>
      <x:c r="C8" s="50" t="str">
        <x:v>Aggregated/fibrillar Aβ</x:v>
      </x:c>
      <x:c r="D8" s="50" t="str">
        <x:v>N-terminal epitope; monomer and aggregated Aβ</x:v>
      </x:c>
      <x:c r="E8" s="50" t="str">
        <x:v>Early terminated</x:v>
      </x:c>
      <x:c r="F8" s="50" t="str">
        <x:v>Symptomatic ARIA-E</x:v>
      </x:c>
      <x:c r="G8" s="50" t="str">
        <x:v>Not required</x:v>
      </x:c>
      <x:c r="H8" s="50" t="str">
        <x:v>Cochrane CD016297 ref 107 and study description</x:v>
      </x:c>
    </x:row>
    <x:row r="9">
      <x:c r="A9" s="50" t="str">
        <x:v>3001 Carriers 2016</x:v>
      </x:c>
      <x:c r="B9" s="50" t="str">
        <x:v>Bapineuzumab</x:v>
      </x:c>
      <x:c r="C9" s="50" t="str">
        <x:v>Aggregated/fibrillar Aβ</x:v>
      </x:c>
      <x:c r="D9" s="50" t="str">
        <x:v>N-terminal epitope; monomer and aggregated Aβ</x:v>
      </x:c>
      <x:c r="E9" s="50" t="str">
        <x:v>Early terminated</x:v>
      </x:c>
      <x:c r="F9" s="50" t="str">
        <x:v>Symptomatic ARIA-E</x:v>
      </x:c>
      <x:c r="G9" s="50" t="str">
        <x:v>Not required</x:v>
      </x:c>
      <x:c r="H9" s="50" t="str">
        <x:v>Cochrane CD016297 ref 108 and study description</x:v>
      </x:c>
    </x:row>
    <x:row r="10">
      <x:c r="A10" s="50" t="str">
        <x:v>Bapineuzumab-301 2014</x:v>
      </x:c>
      <x:c r="B10" s="50" t="str">
        <x:v>Bapineuzumab</x:v>
      </x:c>
      <x:c r="C10" s="50" t="str">
        <x:v>Aggregated/fibrillar Aβ</x:v>
      </x:c>
      <x:c r="D10" s="50" t="str">
        <x:v>N-terminal epitope; monomer and aggregated Aβ</x:v>
      </x:c>
      <x:c r="E10" s="50" t="str">
        <x:v>Completed</x:v>
      </x:c>
      <x:c r="F10" s="50" t="str">
        <x:v>Completed</x:v>
      </x:c>
      <x:c r="G10" s="50" t="str">
        <x:v>Not required</x:v>
      </x:c>
      <x:c r="H10" s="50" t="str">
        <x:v>Cochrane CD016297 refs 103/134-136</x:v>
      </x:c>
    </x:row>
    <x:row r="11">
      <x:c r="A11" s="50" t="str">
        <x:v>Bapineuzumab-302 2014</x:v>
      </x:c>
      <x:c r="B11" s="50" t="str">
        <x:v>Bapineuzumab</x:v>
      </x:c>
      <x:c r="C11" s="50" t="str">
        <x:v>Aggregated/fibrillar Aβ</x:v>
      </x:c>
      <x:c r="D11" s="50" t="str">
        <x:v>N-terminal epitope; monomer and aggregated Aβ</x:v>
      </x:c>
      <x:c r="E11" s="50" t="str">
        <x:v>Completed</x:v>
      </x:c>
      <x:c r="F11" s="50" t="str">
        <x:v>Completed</x:v>
      </x:c>
      <x:c r="G11" s="50" t="str">
        <x:v>Not required</x:v>
      </x:c>
      <x:c r="H11" s="50" t="str">
        <x:v>Cochrane CD016297 refs 109/137</x:v>
      </x:c>
    </x:row>
    <x:row r="12">
      <x:c r="A12" s="50" t="str">
        <x:v>CREAD 2 2022</x:v>
      </x:c>
      <x:c r="B12" s="50" t="str">
        <x:v>Crenezumab</x:v>
      </x:c>
      <x:c r="C12" s="50" t="str">
        <x:v>Soluble aggregate-preferring</x:v>
      </x:c>
      <x:c r="D12" s="50" t="str">
        <x:v>Monomeric and oligomeric Aβ; higher affinity for oligomers</x:v>
      </x:c>
      <x:c r="E12" s="50" t="str">
        <x:v>Early terminated</x:v>
      </x:c>
      <x:c r="F12" s="50" t="str">
        <x:v>Futility</x:v>
      </x:c>
      <x:c r="G12" s="50" t="str">
        <x:v>Required</x:v>
      </x:c>
      <x:c r="H12" s="50" t="str">
        <x:v>Cochrane CD016297 ref 112</x:v>
      </x:c>
    </x:row>
    <x:row r="13">
      <x:c r="A13" s="50" t="str">
        <x:v>CREAD 2022</x:v>
      </x:c>
      <x:c r="B13" s="50" t="str">
        <x:v>Crenezumab</x:v>
      </x:c>
      <x:c r="C13" s="50" t="str">
        <x:v>Soluble aggregate-preferring</x:v>
      </x:c>
      <x:c r="D13" s="50" t="str">
        <x:v>Monomeric and oligomeric Aβ; higher affinity for oligomers</x:v>
      </x:c>
      <x:c r="E13" s="50" t="str">
        <x:v>Early terminated</x:v>
      </x:c>
      <x:c r="F13" s="50" t="str">
        <x:v>Futility</x:v>
      </x:c>
      <x:c r="G13" s="50" t="str">
        <x:v>Required</x:v>
      </x:c>
      <x:c r="H13" s="50" t="str">
        <x:v>Cochrane CD016297 ref 101</x:v>
      </x:c>
    </x:row>
    <x:row r="14">
      <x:c r="A14" s="50" t="str">
        <x:v>TRAILBLAZER-ALZ 2 2023</x:v>
      </x:c>
      <x:c r="B14" s="50" t="str">
        <x:v>Donanemab</x:v>
      </x:c>
      <x:c r="C14" s="50" t="str">
        <x:v>Pyroglutamate plaque Aβ</x:v>
      </x:c>
      <x:c r="D14" s="50" t="str">
        <x:v>N-terminal pyroglutamate-modified Aβ in deposited plaque</x:v>
      </x:c>
      <x:c r="E14" s="50" t="str">
        <x:v>Completed</x:v>
      </x:c>
      <x:c r="F14" s="50" t="str">
        <x:v>Completed</x:v>
      </x:c>
      <x:c r="G14" s="50" t="str">
        <x:v>Required</x:v>
      </x:c>
      <x:c r="H14" s="50" t="str">
        <x:v>Cochrane CD016297 ref 105</x:v>
      </x:c>
    </x:row>
    <x:row r="15">
      <x:c r="A15" s="50" t="str">
        <x:v>SCarlet RoAD 2017</x:v>
      </x:c>
      <x:c r="B15" s="50" t="str">
        <x:v>Gantenerumab</x:v>
      </x:c>
      <x:c r="C15" s="50" t="str">
        <x:v>Aggregated/fibrillar Aβ</x:v>
      </x:c>
      <x:c r="D15" s="50" t="str">
        <x:v>Conformational epitope on aggregated fibrils and plaques</x:v>
      </x:c>
      <x:c r="E15" s="50" t="str">
        <x:v>Early terminated</x:v>
      </x:c>
      <x:c r="F15" s="50" t="str">
        <x:v>Futility</x:v>
      </x:c>
      <x:c r="G15" s="50" t="str">
        <x:v>Required</x:v>
      </x:c>
      <x:c r="H15" s="50" t="str">
        <x:v>Cochrane CD016297 ref 102</x:v>
      </x:c>
    </x:row>
    <x:row r="16">
      <x:c r="A16" s="50" t="str">
        <x:v>Marguerite RoAD 2024</x:v>
      </x:c>
      <x:c r="B16" s="50" t="str">
        <x:v>Gantenerumab</x:v>
      </x:c>
      <x:c r="C16" s="50" t="str">
        <x:v>Aggregated/fibrillar Aβ</x:v>
      </x:c>
      <x:c r="D16" s="50" t="str">
        <x:v>Conformational epitope on aggregated fibrils and plaques</x:v>
      </x:c>
      <x:c r="E16" s="50" t="str">
        <x:v>Early terminated</x:v>
      </x:c>
      <x:c r="F16" s="50" t="str">
        <x:v>Futility</x:v>
      </x:c>
      <x:c r="G16" s="50" t="str">
        <x:v>Not uniformly required</x:v>
      </x:c>
      <x:c r="H16" s="50" t="str">
        <x:v>Cochrane CD016297 ref 100</x:v>
      </x:c>
    </x:row>
    <x:row r="17">
      <x:c r="A17" s="50" t="str">
        <x:v>GRADUATE I 2023</x:v>
      </x:c>
      <x:c r="B17" s="50" t="str">
        <x:v>Gantenerumab</x:v>
      </x:c>
      <x:c r="C17" s="50" t="str">
        <x:v>Aggregated/fibrillar Aβ</x:v>
      </x:c>
      <x:c r="D17" s="50" t="str">
        <x:v>Conformational epitope on aggregated fibrils and plaques</x:v>
      </x:c>
      <x:c r="E17" s="50" t="str">
        <x:v>Completed</x:v>
      </x:c>
      <x:c r="F17" s="50" t="str">
        <x:v>Completed</x:v>
      </x:c>
      <x:c r="G17" s="50" t="str">
        <x:v>Not uniformly required</x:v>
      </x:c>
      <x:c r="H17" s="50" t="str">
        <x:v>Cochrane CD016297 refs 96/110</x:v>
      </x:c>
    </x:row>
    <x:row r="18">
      <x:c r="A18" s="50" t="str">
        <x:v>GRADUATE II 2023</x:v>
      </x:c>
      <x:c r="B18" s="50" t="str">
        <x:v>Gantenerumab</x:v>
      </x:c>
      <x:c r="C18" s="50" t="str">
        <x:v>Aggregated/fibrillar Aβ</x:v>
      </x:c>
      <x:c r="D18" s="50" t="str">
        <x:v>Conformational epitope on aggregated fibrils and plaques</x:v>
      </x:c>
      <x:c r="E18" s="50" t="str">
        <x:v>Completed</x:v>
      </x:c>
      <x:c r="F18" s="50" t="str">
        <x:v>Completed</x:v>
      </x:c>
      <x:c r="G18" s="50" t="str">
        <x:v>Not uniformly required</x:v>
      </x:c>
      <x:c r="H18" s="50" t="str">
        <x:v>Cochrane CD016297 refs 96/110</x:v>
      </x:c>
    </x:row>
    <x:row r="19">
      <x:c r="A19" s="50" t="str">
        <x:v>CLARITY AD 2023</x:v>
      </x:c>
      <x:c r="B19" s="50" t="str">
        <x:v>Lecanemab</x:v>
      </x:c>
      <x:c r="C19" s="50" t="str">
        <x:v>Soluble aggregate-preferring</x:v>
      </x:c>
      <x:c r="D19" s="50" t="str">
        <x:v>High affinity for soluble protofibrils; also engages fibrils</x:v>
      </x:c>
      <x:c r="E19" s="50" t="str">
        <x:v>Completed</x:v>
      </x:c>
      <x:c r="F19" s="50" t="str">
        <x:v>Completed</x:v>
      </x:c>
      <x:c r="G19" s="50" t="str">
        <x:v>Required</x:v>
      </x:c>
      <x:c r="H19" s="50" t="str">
        <x:v>Cochrane CD016297 ref 106</x:v>
      </x:c>
    </x:row>
    <x:row r="20">
      <x:c r="A20" s="50" t="str">
        <x:v>EXPEDITION - EXPEDITION 2 2016</x:v>
      </x:c>
      <x:c r="B20" s="50" t="str">
        <x:v>Solanezumab</x:v>
      </x:c>
      <x:c r="C20" s="50" t="str">
        <x:v>Soluble monomer Aβ</x:v>
      </x:c>
      <x:c r="D20" s="50" t="str">
        <x:v>Mid-domain epitope; predominantly soluble monomer</x:v>
      </x:c>
      <x:c r="E20" s="50" t="str">
        <x:v>Completed</x:v>
      </x:c>
      <x:c r="F20" s="50" t="str">
        <x:v>Completed</x:v>
      </x:c>
      <x:c r="G20" s="50" t="str">
        <x:v>Not required</x:v>
      </x:c>
      <x:c r="H20" s="50" t="str">
        <x:v>Cochrane CD016297 ref 104</x:v>
      </x:c>
    </x:row>
    <x:row r="21">
      <x:c r="A21" s="51" t="str">
        <x:v>EXPEDITION 3 2018</x:v>
      </x:c>
      <x:c r="B21" s="51" t="str">
        <x:v>Solanezumab</x:v>
      </x:c>
      <x:c r="C21" s="51" t="str">
        <x:v>Soluble monomer Aβ</x:v>
      </x:c>
      <x:c r="D21" s="51" t="str">
        <x:v>Mid-domain epitope; predominantly soluble monomer</x:v>
      </x:c>
      <x:c r="E21" s="51" t="str">
        <x:v>Completed</x:v>
      </x:c>
      <x:c r="F21" s="51" t="str">
        <x:v>Completed</x:v>
      </x:c>
      <x:c r="G21" s="51" t="str">
        <x:v>Required</x:v>
      </x:c>
      <x:c r="H21" s="51" t="str">
        <x:v>Cochrane CD016297 ref 98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76dd50de23a4db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6" hidden="0" customWidth="1"/>
    <x:col min="4" max="4" width="42" hidden="0" customWidth="1"/>
    <x:col min="5" max="5" width="16" hidden="0" customWidth="1"/>
  </x:cols>
  <x:sheetData>
    <x:row r="1" ht="34" customHeight="1">
      <x:c r="A1" s="3" t="str">
        <x:v>Quality control</x:v>
      </x:c>
    </x:row>
    <x:row r="2" ht="32" customHeight="1">
      <x:c r="A2" s="7" t="str">
        <x:v>Classification reconciliation and workbook checks.</x:v>
      </x:c>
    </x:row>
    <x:row r="4">
      <x:c r="A4" s="22" t="str">
        <x:v>Check</x:v>
      </x:c>
      <x:c r="B4" s="22" t="str">
        <x:v>Value</x:v>
      </x:c>
      <x:c r="D4" s="68" t="str">
        <x:v>Derived check</x:v>
      </x:c>
      <x:c r="E4" s="68" t="str">
        <x:v>Formula</x:v>
      </x:c>
    </x:row>
    <x:row r="5">
      <x:c r="A5" s="23" t="str">
        <x:v>Distinct Cochrane studies</x:v>
      </x:c>
      <x:c r="B5" s="77" t="n">
        <x:v>17</x:v>
      </x:c>
      <x:c r="D5" t="str">
        <x:v>Futility coding matches Cochrane</x:v>
      </x:c>
      <x:c r="E5" t="str">
        <x:f>IF(B7=B9,"PASS","FAIL")</x:f>
        <x:v>PASS</x:v>
      </x:c>
    </x:row>
    <x:row r="6">
      <x:c r="A6" s="24" t="str">
        <x:v>Distinct antibodies</x:v>
      </x:c>
      <x:c r="B6" s="78" t="n">
        <x:v>7</x:v>
      </x:c>
      <x:c r="D6" t="str">
        <x:v>All termination coding matches Cochrane</x:v>
      </x:c>
      <x:c r="E6" t="str">
        <x:f>IF(B8=B10,"PASS","FAIL")</x:f>
        <x:v>PASS</x:v>
      </x:c>
    </x:row>
    <x:row r="7">
      <x:c r="A7" s="24" t="str">
        <x:v>Trials coded futility-terminated</x:v>
      </x:c>
      <x:c r="B7" s="78" t="n">
        <x:v>6</x:v>
      </x:c>
      <x:c r="D7" t="str">
        <x:v>Missing agent rows</x:v>
      </x:c>
      <x:c r="E7" t="str">
        <x:f>IF(B11=0,"PASS","FAIL")</x:f>
        <x:v>PASS</x:v>
      </x:c>
    </x:row>
    <x:row r="8">
      <x:c r="A8" s="24" t="str">
        <x:v>Trials coded any early termination</x:v>
      </x:c>
      <x:c r="B8" s="78" t="n">
        <x:v>9</x:v>
      </x:c>
      <x:c r="D8" t="str">
        <x:v>Missing termination rows</x:v>
      </x:c>
      <x:c r="E8" t="str">
        <x:f>IF(B12=0,"PASS","FAIL")</x:f>
        <x:v>PASS</x:v>
      </x:c>
    </x:row>
    <x:row r="9">
      <x:c r="A9" s="24" t="str">
        <x:v>Cochrane-reported futility terminations</x:v>
      </x:c>
      <x:c r="B9" s="78" t="n">
        <x:v>6</x:v>
      </x:c>
    </x:row>
    <x:row r="10">
      <x:c r="A10" s="24" t="str">
        <x:v>Cochrane-reported total terminations</x:v>
      </x:c>
      <x:c r="B10" s="78" t="n">
        <x:v>9</x:v>
      </x:c>
    </x:row>
    <x:row r="11">
      <x:c r="A11" s="25" t="str">
        <x:v>Rows missing agent classification</x:v>
      </x:c>
      <x:c r="B11" s="79" t="n">
        <x:v>0</x:v>
      </x:c>
    </x:row>
    <x:row r="12">
      <x:c r="A12" t="str">
        <x:v>Rows missing termination classification</x:v>
      </x:c>
      <x:c r="B12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5" hidden="0" customWidth="1"/>
    <x:col min="3" max="3" width="72" hidden="0" customWidth="1"/>
  </x:cols>
  <x:sheetData>
    <x:row r="1" ht="34" customHeight="1">
      <x:c r="A1" s="3" t="str">
        <x:v>Sources and provenance</x:v>
      </x:c>
    </x:row>
    <x:row r="2" ht="32" customHeight="1">
      <x:c r="A2" s="7" t="str">
        <x:v>URLs are included in plain text for auditability.</x:v>
      </x:c>
    </x:row>
    <x:row r="4">
      <x:c r="A4" s="22" t="str">
        <x:v>Source</x:v>
      </x:c>
      <x:c r="B4" s="22" t="str">
        <x:v>Role</x:v>
      </x:c>
      <x:c r="C4" s="22" t="str">
        <x:v>URL</x:v>
      </x:c>
    </x:row>
    <x:row r="5" ht="42" customHeight="1">
      <x:c r="A5" s="83" t="str">
        <x:v>Cochrane review and analysis package</x:v>
      </x:c>
      <x:c r="B5" s="83" t="str">
        <x:v>Primary clinical and safety data; termination and MID discussion</x:v>
      </x:c>
      <x:c r="C5" s="83" t="str">
        <x:v>https://doi.org/10.1002/14651858.CD016297</x:v>
      </x:c>
    </x:row>
    <x:row r="6" ht="42" customHeight="1">
      <x:c r="A6" s="84" t="str">
        <x:v>Snyder et al. response</x:v>
      </x:c>
      <x:c r="B6" s="84" t="str">
        <x:v>Criticisms operationalized in this extension</x:v>
      </x:c>
      <x:c r="C6" s="84" t="str">
        <x:v>https://doi.org/10.1002/alz.71696</x:v>
      </x:c>
    </x:row>
    <x:row r="7" ht="42" customHeight="1">
      <x:c r="A7" s="84" t="str">
        <x:v>Cummings et al. 2025</x:v>
      </x:c>
      <x:c r="B7" s="84" t="str">
        <x:v>Predominant amyloid-species target classification</x:v>
      </x:c>
      <x:c r="C7" s="84" t="str">
        <x:v>https://pmc.ncbi.nlm.nih.gov/articles/PMC12047478/</x:v>
      </x:c>
    </x:row>
    <x:row r="8" ht="42" customHeight="1">
      <x:c r="A8" s="84" t="str">
        <x:v>Muir et al. 2024</x:v>
      </x:c>
      <x:c r="B8" s="84" t="str">
        <x:v>MID rapid review cited by Cochrane</x:v>
      </x:c>
      <x:c r="C8" s="84" t="str">
        <x:v>https://doi.org/10.1002/alz.13770</x:v>
      </x:c>
    </x:row>
    <x:row r="9" ht="42" customHeight="1">
      <x:c r="A9" s="84" t="str">
        <x:v>Lansdall et al. 2023</x:v>
      </x:c>
      <x:c r="B9" s="84" t="str">
        <x:v>Meaningful-change source cited by Cochrane</x:v>
      </x:c>
      <x:c r="C9" s="84" t="str">
        <x:v>https://doi.org/10.14283/jpad.2022.102</x:v>
      </x:c>
    </x:row>
    <x:row r="10" ht="42" customHeight="1">
      <x:c r="A10" s="85" t="str">
        <x:v>Imbimbo et al. 2024</x:v>
      </x:c>
      <x:c r="B10" s="85" t="str">
        <x:v>Centiloid mapping used in prior package</x:v>
      </x:c>
      <x:c r="C10" s="85" t="str">
        <x:v>https://academic.oup.com/brain/article/147/10/3513/7754406</x:v>
      </x:c>
    </x:row>
  </x:sheetData>
  <x:mergeCells>
    <x:mergeCell ref="A1:H1"/>
    <x:mergeCell ref="A2:H2"/>
  </x:mergeCells>
  <x:pageMargins left="0.7" right="0.7" top="0.75" bottom="0.75" header="0.3" footer="0.3"/>
</x:worksheet>
</file>